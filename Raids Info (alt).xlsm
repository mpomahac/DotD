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/>
  <xr:revisionPtr revIDLastSave="0" documentId="13_ncr:1_{9B0DEB39-2473-40D2-A14D-962284B484B0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List1" sheetId="1" r:id="rId1"/>
    <sheet name="List2" sheetId="2" r:id="rId2"/>
  </sheets>
  <definedNames>
    <definedName name="_xlnm._FilterDatabase" localSheetId="0" hidden="1">List1!$E$5:$E$219</definedName>
  </definedNames>
  <calcPr calcId="179021" iterate="1" iterateCount="1" iterateDelta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7" i="2" l="1"/>
  <c r="E62" i="2" l="1"/>
  <c r="G62" i="2" s="1"/>
  <c r="E65" i="2"/>
  <c r="F65" i="2" s="1"/>
  <c r="E64" i="2"/>
  <c r="F64" i="2" s="1"/>
  <c r="E63" i="2"/>
  <c r="F63" i="2" s="1"/>
  <c r="E12" i="2"/>
  <c r="G12" i="2" s="1"/>
  <c r="E56" i="2"/>
  <c r="F56" i="2" s="1"/>
  <c r="E57" i="2"/>
  <c r="F57" i="2" s="1"/>
  <c r="E60" i="2"/>
  <c r="F60" i="2" s="1"/>
  <c r="E59" i="2"/>
  <c r="G59" i="2" s="1"/>
  <c r="E58" i="2"/>
  <c r="F58" i="2" s="1"/>
  <c r="E66" i="2"/>
  <c r="F66" i="2" s="1"/>
  <c r="E67" i="2"/>
  <c r="G67" i="2" s="1"/>
  <c r="E68" i="2"/>
  <c r="G68" i="2" s="1"/>
  <c r="E6" i="2"/>
  <c r="F6" i="2" s="1"/>
  <c r="E69" i="2"/>
  <c r="F69" i="2" s="1"/>
  <c r="E70" i="2"/>
  <c r="G70" i="2" s="1"/>
  <c r="E29" i="2"/>
  <c r="G29" i="2" s="1"/>
  <c r="E13" i="2"/>
  <c r="F13" i="2" s="1"/>
  <c r="E14" i="2"/>
  <c r="F14" i="2" s="1"/>
  <c r="E22" i="2"/>
  <c r="F22" i="2" s="1"/>
  <c r="E15" i="2"/>
  <c r="G15" i="2" s="1"/>
  <c r="E16" i="2"/>
  <c r="F16" i="2" s="1"/>
  <c r="E34" i="2"/>
  <c r="F34" i="2" s="1"/>
  <c r="E49" i="2"/>
  <c r="G49" i="2" s="1"/>
  <c r="E31" i="2"/>
  <c r="G31" i="2" s="1"/>
  <c r="E33" i="2"/>
  <c r="F33" i="2" s="1"/>
  <c r="E43" i="2"/>
  <c r="F43" i="2" s="1"/>
  <c r="E35" i="2"/>
  <c r="F35" i="2" s="1"/>
  <c r="E41" i="2"/>
  <c r="G41" i="2" s="1"/>
  <c r="E17" i="2"/>
  <c r="F17" i="2" s="1"/>
  <c r="E52" i="2"/>
  <c r="F52" i="2" s="1"/>
  <c r="E53" i="2"/>
  <c r="F53" i="2" s="1"/>
  <c r="E8" i="2"/>
  <c r="G8" i="2" s="1"/>
  <c r="E54" i="2"/>
  <c r="F54" i="2" s="1"/>
  <c r="E7" i="2"/>
  <c r="F7" i="2" s="1"/>
  <c r="E19" i="2"/>
  <c r="F19" i="2" s="1"/>
  <c r="E47" i="2"/>
  <c r="G47" i="2" s="1"/>
  <c r="E51" i="2"/>
  <c r="F51" i="2" s="1"/>
  <c r="E20" i="2"/>
  <c r="F20" i="2" s="1"/>
  <c r="E55" i="2"/>
  <c r="G55" i="2" s="1"/>
  <c r="E23" i="2"/>
  <c r="G23" i="2" s="1"/>
  <c r="E4" i="2"/>
  <c r="F4" i="2" s="1"/>
  <c r="E44" i="2"/>
  <c r="F44" i="2" s="1"/>
  <c r="E45" i="2"/>
  <c r="G45" i="2" s="1"/>
  <c r="E11" i="2"/>
  <c r="G11" i="2" s="1"/>
  <c r="E46" i="2"/>
  <c r="F46" i="2" s="1"/>
  <c r="E24" i="2"/>
  <c r="F24" i="2" s="1"/>
  <c r="E21" i="2"/>
  <c r="G21" i="2" s="1"/>
  <c r="E36" i="2"/>
  <c r="G36" i="2" s="1"/>
  <c r="E37" i="2"/>
  <c r="G37" i="2" s="1"/>
  <c r="E50" i="2"/>
  <c r="F50" i="2" s="1"/>
  <c r="E42" i="2"/>
  <c r="G42" i="2" s="1"/>
  <c r="E48" i="2"/>
  <c r="G48" i="2" s="1"/>
  <c r="E32" i="2"/>
  <c r="F32" i="2" s="1"/>
  <c r="E26" i="2"/>
  <c r="F26" i="2" s="1"/>
  <c r="G27" i="2"/>
  <c r="E10" i="2"/>
  <c r="G10" i="2" s="1"/>
  <c r="E28" i="2"/>
  <c r="F28" i="2" s="1"/>
  <c r="E9" i="2"/>
  <c r="F9" i="2" s="1"/>
  <c r="E5" i="2"/>
  <c r="G5" i="2" s="1"/>
  <c r="E38" i="2"/>
  <c r="G38" i="2" s="1"/>
  <c r="E39" i="2"/>
  <c r="F39" i="2" s="1"/>
  <c r="E18" i="2"/>
  <c r="F18" i="2" s="1"/>
  <c r="E40" i="2"/>
  <c r="F40" i="2" s="1"/>
  <c r="E30" i="2"/>
  <c r="G30" i="2" s="1"/>
  <c r="E25" i="2"/>
  <c r="F25" i="2" s="1"/>
  <c r="E61" i="2"/>
  <c r="F61" i="2" s="1"/>
  <c r="L18" i="1"/>
  <c r="G61" i="2" l="1"/>
  <c r="H61" i="2" s="1"/>
  <c r="G25" i="2"/>
  <c r="H25" i="2" s="1"/>
  <c r="F30" i="2"/>
  <c r="H30" i="2" s="1"/>
  <c r="G40" i="2"/>
  <c r="H40" i="2" s="1"/>
  <c r="G18" i="2"/>
  <c r="H18" i="2" s="1"/>
  <c r="G39" i="2"/>
  <c r="H39" i="2" s="1"/>
  <c r="F38" i="2"/>
  <c r="H38" i="2" s="1"/>
  <c r="F5" i="2"/>
  <c r="H5" i="2" s="1"/>
  <c r="G9" i="2"/>
  <c r="H9" i="2" s="1"/>
  <c r="G28" i="2"/>
  <c r="H28" i="2" s="1"/>
  <c r="F10" i="2"/>
  <c r="H10" i="2" s="1"/>
  <c r="F27" i="2"/>
  <c r="H27" i="2" s="1"/>
  <c r="G26" i="2"/>
  <c r="H26" i="2" s="1"/>
  <c r="G32" i="2"/>
  <c r="H32" i="2" s="1"/>
  <c r="F48" i="2"/>
  <c r="H48" i="2" s="1"/>
  <c r="F42" i="2"/>
  <c r="H42" i="2" s="1"/>
  <c r="G50" i="2"/>
  <c r="H50" i="2" s="1"/>
  <c r="F37" i="2"/>
  <c r="H37" i="2" s="1"/>
  <c r="F36" i="2"/>
  <c r="H36" i="2" s="1"/>
  <c r="F21" i="2"/>
  <c r="H21" i="2" s="1"/>
  <c r="G24" i="2"/>
  <c r="H24" i="2" s="1"/>
  <c r="G46" i="2"/>
  <c r="H46" i="2" s="1"/>
  <c r="F11" i="2"/>
  <c r="H11" i="2" s="1"/>
  <c r="F45" i="2"/>
  <c r="H45" i="2" s="1"/>
  <c r="G44" i="2"/>
  <c r="H44" i="2" s="1"/>
  <c r="G4" i="2"/>
  <c r="H4" i="2" s="1"/>
  <c r="F23" i="2"/>
  <c r="H23" i="2" s="1"/>
  <c r="F55" i="2"/>
  <c r="H55" i="2" s="1"/>
  <c r="G20" i="2"/>
  <c r="H20" i="2" s="1"/>
  <c r="G51" i="2"/>
  <c r="H51" i="2" s="1"/>
  <c r="F47" i="2"/>
  <c r="H47" i="2" s="1"/>
  <c r="G19" i="2"/>
  <c r="H19" i="2" s="1"/>
  <c r="G7" i="2"/>
  <c r="H7" i="2" s="1"/>
  <c r="G54" i="2"/>
  <c r="H54" i="2" s="1"/>
  <c r="F8" i="2"/>
  <c r="H8" i="2" s="1"/>
  <c r="G53" i="2"/>
  <c r="H53" i="2" s="1"/>
  <c r="G52" i="2"/>
  <c r="H52" i="2" s="1"/>
  <c r="G17" i="2"/>
  <c r="H17" i="2" s="1"/>
  <c r="F41" i="2"/>
  <c r="H41" i="2" s="1"/>
  <c r="G35" i="2"/>
  <c r="H35" i="2" s="1"/>
  <c r="G43" i="2"/>
  <c r="H43" i="2" s="1"/>
  <c r="G33" i="2"/>
  <c r="H33" i="2" s="1"/>
  <c r="F31" i="2"/>
  <c r="H31" i="2" s="1"/>
  <c r="F49" i="2"/>
  <c r="H49" i="2" s="1"/>
  <c r="G34" i="2"/>
  <c r="H34" i="2" s="1"/>
  <c r="G16" i="2"/>
  <c r="H16" i="2" s="1"/>
  <c r="F15" i="2"/>
  <c r="H15" i="2" s="1"/>
  <c r="G22" i="2"/>
  <c r="H22" i="2" s="1"/>
  <c r="G14" i="2"/>
  <c r="H14" i="2" s="1"/>
  <c r="G13" i="2"/>
  <c r="H13" i="2" s="1"/>
  <c r="F29" i="2"/>
  <c r="H29" i="2" s="1"/>
  <c r="F70" i="2"/>
  <c r="H70" i="2" s="1"/>
  <c r="G69" i="2"/>
  <c r="H69" i="2" s="1"/>
  <c r="G6" i="2"/>
  <c r="H6" i="2" s="1"/>
  <c r="F68" i="2"/>
  <c r="H68" i="2" s="1"/>
  <c r="F67" i="2"/>
  <c r="H67" i="2" s="1"/>
  <c r="G66" i="2"/>
  <c r="H66" i="2" s="1"/>
  <c r="G58" i="2"/>
  <c r="H58" i="2" s="1"/>
  <c r="F59" i="2"/>
  <c r="H59" i="2" s="1"/>
  <c r="G60" i="2"/>
  <c r="H60" i="2" s="1"/>
  <c r="G57" i="2"/>
  <c r="H57" i="2" s="1"/>
  <c r="G56" i="2"/>
  <c r="H56" i="2" s="1"/>
  <c r="F12" i="2"/>
  <c r="H12" i="2" s="1"/>
  <c r="G63" i="2"/>
  <c r="H63" i="2" s="1"/>
  <c r="G64" i="2"/>
  <c r="H64" i="2" s="1"/>
  <c r="G65" i="2"/>
  <c r="H65" i="2" s="1"/>
  <c r="F62" i="2"/>
  <c r="H62" i="2" s="1"/>
  <c r="L16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H16" i="1" l="1"/>
  <c r="H28" i="1"/>
  <c r="H40" i="1"/>
  <c r="H52" i="1"/>
  <c r="H64" i="1"/>
  <c r="H80" i="1"/>
  <c r="H92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I93" i="1"/>
  <c r="I97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H8" i="1"/>
  <c r="H20" i="1"/>
  <c r="H32" i="1"/>
  <c r="H44" i="1"/>
  <c r="H60" i="1"/>
  <c r="H72" i="1"/>
  <c r="H84" i="1"/>
  <c r="I96" i="1"/>
  <c r="H140" i="1"/>
  <c r="H180" i="1"/>
  <c r="H188" i="1"/>
  <c r="H196" i="1"/>
  <c r="H6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I94" i="1"/>
  <c r="I138" i="1"/>
  <c r="I142" i="1"/>
  <c r="I146" i="1"/>
  <c r="I150" i="1"/>
  <c r="I154" i="1"/>
  <c r="I158" i="1"/>
  <c r="I162" i="1"/>
  <c r="I166" i="1"/>
  <c r="I170" i="1"/>
  <c r="I174" i="1"/>
  <c r="I178" i="1"/>
  <c r="I182" i="1"/>
  <c r="I186" i="1"/>
  <c r="I190" i="1"/>
  <c r="I194" i="1"/>
  <c r="I198" i="1"/>
  <c r="I202" i="1"/>
  <c r="I206" i="1"/>
  <c r="I210" i="1"/>
  <c r="I214" i="1"/>
  <c r="I218" i="1"/>
  <c r="H12" i="1"/>
  <c r="H24" i="1"/>
  <c r="H36" i="1"/>
  <c r="H48" i="1"/>
  <c r="H56" i="1"/>
  <c r="H68" i="1"/>
  <c r="H76" i="1"/>
  <c r="H88" i="1"/>
  <c r="H148" i="1"/>
  <c r="H7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161" i="1"/>
  <c r="H169" i="1"/>
  <c r="J169" i="1" s="1"/>
  <c r="H209" i="1"/>
  <c r="J209" i="1" s="1"/>
  <c r="H189" i="1"/>
  <c r="H137" i="1"/>
  <c r="J137" i="1" s="1"/>
  <c r="H193" i="1"/>
  <c r="H213" i="1"/>
  <c r="H201" i="1"/>
  <c r="I91" i="1"/>
  <c r="H145" i="1"/>
  <c r="H177" i="1"/>
  <c r="J177" i="1" s="1"/>
  <c r="H197" i="1"/>
  <c r="J197" i="1" s="1"/>
  <c r="H217" i="1"/>
  <c r="J217" i="1" s="1"/>
  <c r="H153" i="1"/>
  <c r="H185" i="1"/>
  <c r="I18" i="1"/>
  <c r="I20" i="1"/>
  <c r="I22" i="1"/>
  <c r="I24" i="1"/>
  <c r="I26" i="1"/>
  <c r="I28" i="1"/>
  <c r="I30" i="1"/>
  <c r="I32" i="1"/>
  <c r="I34" i="1"/>
  <c r="I36" i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2" i="1"/>
  <c r="I84" i="1"/>
  <c r="I86" i="1"/>
  <c r="I88" i="1"/>
  <c r="I90" i="1"/>
  <c r="I92" i="1"/>
  <c r="H96" i="1"/>
  <c r="J96" i="1" s="1"/>
  <c r="H141" i="1"/>
  <c r="H149" i="1"/>
  <c r="J149" i="1" s="1"/>
  <c r="H157" i="1"/>
  <c r="H165" i="1"/>
  <c r="H173" i="1"/>
  <c r="H181" i="1"/>
  <c r="J181" i="1" s="1"/>
  <c r="H205" i="1"/>
  <c r="I17" i="1"/>
  <c r="I19" i="1"/>
  <c r="I21" i="1"/>
  <c r="I23" i="1"/>
  <c r="I25" i="1"/>
  <c r="I27" i="1"/>
  <c r="I29" i="1"/>
  <c r="I31" i="1"/>
  <c r="I33" i="1"/>
  <c r="I35" i="1"/>
  <c r="I37" i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1" i="1"/>
  <c r="I83" i="1"/>
  <c r="I85" i="1"/>
  <c r="I87" i="1"/>
  <c r="I89" i="1"/>
  <c r="I16" i="1"/>
  <c r="I15" i="1"/>
  <c r="I14" i="1"/>
  <c r="I13" i="1"/>
  <c r="I12" i="1"/>
  <c r="I11" i="1"/>
  <c r="I10" i="1"/>
  <c r="I9" i="1"/>
  <c r="I8" i="1"/>
  <c r="I7" i="1"/>
  <c r="I6" i="1"/>
  <c r="I95" i="1"/>
  <c r="H95" i="1"/>
  <c r="I136" i="1"/>
  <c r="I152" i="1"/>
  <c r="I156" i="1"/>
  <c r="I160" i="1"/>
  <c r="I168" i="1"/>
  <c r="I176" i="1"/>
  <c r="I184" i="1"/>
  <c r="I192" i="1"/>
  <c r="I204" i="1"/>
  <c r="I208" i="1"/>
  <c r="I212" i="1"/>
  <c r="I98" i="1"/>
  <c r="H98" i="1"/>
  <c r="I102" i="1"/>
  <c r="H102" i="1"/>
  <c r="J102" i="1" s="1"/>
  <c r="I106" i="1"/>
  <c r="H106" i="1"/>
  <c r="I110" i="1"/>
  <c r="H110" i="1"/>
  <c r="J110" i="1" s="1"/>
  <c r="I114" i="1"/>
  <c r="H114" i="1"/>
  <c r="I118" i="1"/>
  <c r="H118" i="1"/>
  <c r="J118" i="1" s="1"/>
  <c r="I122" i="1"/>
  <c r="H122" i="1"/>
  <c r="I126" i="1"/>
  <c r="H126" i="1"/>
  <c r="J126" i="1" s="1"/>
  <c r="I130" i="1"/>
  <c r="H130" i="1"/>
  <c r="I134" i="1"/>
  <c r="H134" i="1"/>
  <c r="J134" i="1" s="1"/>
  <c r="H160" i="1"/>
  <c r="J160" i="1" s="1"/>
  <c r="H168" i="1"/>
  <c r="J168" i="1" s="1"/>
  <c r="H204" i="1"/>
  <c r="H212" i="1"/>
  <c r="J212" i="1" s="1"/>
  <c r="H94" i="1"/>
  <c r="I140" i="1"/>
  <c r="I144" i="1"/>
  <c r="I148" i="1"/>
  <c r="I164" i="1"/>
  <c r="I172" i="1"/>
  <c r="I180" i="1"/>
  <c r="I188" i="1"/>
  <c r="I196" i="1"/>
  <c r="I200" i="1"/>
  <c r="I216" i="1"/>
  <c r="I100" i="1"/>
  <c r="H100" i="1"/>
  <c r="I104" i="1"/>
  <c r="H104" i="1"/>
  <c r="I108" i="1"/>
  <c r="H108" i="1"/>
  <c r="I112" i="1"/>
  <c r="H112" i="1"/>
  <c r="I116" i="1"/>
  <c r="H116" i="1"/>
  <c r="I120" i="1"/>
  <c r="H120" i="1"/>
  <c r="I124" i="1"/>
  <c r="H124" i="1"/>
  <c r="I128" i="1"/>
  <c r="H128" i="1"/>
  <c r="I132" i="1"/>
  <c r="H132" i="1"/>
  <c r="H136" i="1"/>
  <c r="J136" i="1" s="1"/>
  <c r="H144" i="1"/>
  <c r="H152" i="1"/>
  <c r="J152" i="1" s="1"/>
  <c r="H156" i="1"/>
  <c r="H164" i="1"/>
  <c r="H172" i="1"/>
  <c r="H176" i="1"/>
  <c r="J176" i="1" s="1"/>
  <c r="H184" i="1"/>
  <c r="H192" i="1"/>
  <c r="H200" i="1"/>
  <c r="H208" i="1"/>
  <c r="J208" i="1" s="1"/>
  <c r="H216" i="1"/>
  <c r="H93" i="1"/>
  <c r="H97" i="1"/>
  <c r="I99" i="1"/>
  <c r="H99" i="1"/>
  <c r="I101" i="1"/>
  <c r="H101" i="1"/>
  <c r="I103" i="1"/>
  <c r="H103" i="1"/>
  <c r="I105" i="1"/>
  <c r="H105" i="1"/>
  <c r="I107" i="1"/>
  <c r="H107" i="1"/>
  <c r="I109" i="1"/>
  <c r="H109" i="1"/>
  <c r="I111" i="1"/>
  <c r="H111" i="1"/>
  <c r="I113" i="1"/>
  <c r="H113" i="1"/>
  <c r="I115" i="1"/>
  <c r="H115" i="1"/>
  <c r="I117" i="1"/>
  <c r="H117" i="1"/>
  <c r="I119" i="1"/>
  <c r="H119" i="1"/>
  <c r="I121" i="1"/>
  <c r="H121" i="1"/>
  <c r="I123" i="1"/>
  <c r="H123" i="1"/>
  <c r="I125" i="1"/>
  <c r="H125" i="1"/>
  <c r="I127" i="1"/>
  <c r="H127" i="1"/>
  <c r="I129" i="1"/>
  <c r="H129" i="1"/>
  <c r="I131" i="1"/>
  <c r="H131" i="1"/>
  <c r="I133" i="1"/>
  <c r="H133" i="1"/>
  <c r="I135" i="1"/>
  <c r="H135" i="1"/>
  <c r="I139" i="1"/>
  <c r="H139" i="1"/>
  <c r="I143" i="1"/>
  <c r="H143" i="1"/>
  <c r="I147" i="1"/>
  <c r="H147" i="1"/>
  <c r="I151" i="1"/>
  <c r="H151" i="1"/>
  <c r="I155" i="1"/>
  <c r="H155" i="1"/>
  <c r="I159" i="1"/>
  <c r="H159" i="1"/>
  <c r="I163" i="1"/>
  <c r="H163" i="1"/>
  <c r="I167" i="1"/>
  <c r="H167" i="1"/>
  <c r="I171" i="1"/>
  <c r="H171" i="1"/>
  <c r="I175" i="1"/>
  <c r="H175" i="1"/>
  <c r="I179" i="1"/>
  <c r="H179" i="1"/>
  <c r="I183" i="1"/>
  <c r="H183" i="1"/>
  <c r="I187" i="1"/>
  <c r="H187" i="1"/>
  <c r="I191" i="1"/>
  <c r="H191" i="1"/>
  <c r="I195" i="1"/>
  <c r="H195" i="1"/>
  <c r="I199" i="1"/>
  <c r="H199" i="1"/>
  <c r="I203" i="1"/>
  <c r="H203" i="1"/>
  <c r="I207" i="1"/>
  <c r="H207" i="1"/>
  <c r="I211" i="1"/>
  <c r="H211" i="1"/>
  <c r="I215" i="1"/>
  <c r="H215" i="1"/>
  <c r="I219" i="1"/>
  <c r="H219" i="1"/>
  <c r="H138" i="1"/>
  <c r="J138" i="1" s="1"/>
  <c r="H142" i="1"/>
  <c r="H146" i="1"/>
  <c r="H150" i="1"/>
  <c r="H154" i="1"/>
  <c r="J154" i="1" s="1"/>
  <c r="H158" i="1"/>
  <c r="H162" i="1"/>
  <c r="H166" i="1"/>
  <c r="H170" i="1"/>
  <c r="J170" i="1" s="1"/>
  <c r="H174" i="1"/>
  <c r="H178" i="1"/>
  <c r="H182" i="1"/>
  <c r="H186" i="1"/>
  <c r="J186" i="1" s="1"/>
  <c r="H190" i="1"/>
  <c r="H194" i="1"/>
  <c r="H198" i="1"/>
  <c r="H202" i="1"/>
  <c r="J202" i="1" s="1"/>
  <c r="H206" i="1"/>
  <c r="H210" i="1"/>
  <c r="H214" i="1"/>
  <c r="H218" i="1"/>
  <c r="J218" i="1" s="1"/>
  <c r="J153" i="1" l="1"/>
  <c r="J52" i="1"/>
  <c r="J144" i="1"/>
  <c r="J94" i="1"/>
  <c r="J213" i="1"/>
  <c r="J214" i="1"/>
  <c r="J198" i="1"/>
  <c r="J182" i="1"/>
  <c r="J166" i="1"/>
  <c r="J150" i="1"/>
  <c r="J219" i="1"/>
  <c r="J203" i="1"/>
  <c r="J187" i="1"/>
  <c r="J171" i="1"/>
  <c r="J97" i="1"/>
  <c r="J155" i="1"/>
  <c r="J139" i="1"/>
  <c r="J133" i="1"/>
  <c r="J129" i="1"/>
  <c r="J125" i="1"/>
  <c r="J117" i="1"/>
  <c r="J113" i="1"/>
  <c r="J109" i="1"/>
  <c r="J101" i="1"/>
  <c r="J200" i="1"/>
  <c r="J172" i="1"/>
  <c r="J204" i="1"/>
  <c r="J165" i="1"/>
  <c r="J128" i="1"/>
  <c r="J82" i="1"/>
  <c r="J50" i="1"/>
  <c r="J34" i="1"/>
  <c r="J18" i="1"/>
  <c r="J201" i="1"/>
  <c r="J206" i="1"/>
  <c r="J190" i="1"/>
  <c r="J174" i="1"/>
  <c r="J158" i="1"/>
  <c r="J142" i="1"/>
  <c r="J216" i="1"/>
  <c r="J185" i="1"/>
  <c r="J205" i="1"/>
  <c r="J157" i="1"/>
  <c r="J57" i="1"/>
  <c r="J215" i="1"/>
  <c r="J207" i="1"/>
  <c r="J199" i="1"/>
  <c r="J191" i="1"/>
  <c r="J183" i="1"/>
  <c r="J175" i="1"/>
  <c r="J167" i="1"/>
  <c r="J159" i="1"/>
  <c r="J151" i="1"/>
  <c r="J143" i="1"/>
  <c r="J135" i="1"/>
  <c r="J131" i="1"/>
  <c r="J127" i="1"/>
  <c r="J123" i="1"/>
  <c r="J119" i="1"/>
  <c r="J115" i="1"/>
  <c r="J111" i="1"/>
  <c r="J107" i="1"/>
  <c r="J103" i="1"/>
  <c r="J99" i="1"/>
  <c r="J184" i="1"/>
  <c r="J156" i="1"/>
  <c r="J132" i="1"/>
  <c r="J124" i="1"/>
  <c r="J116" i="1"/>
  <c r="J108" i="1"/>
  <c r="J100" i="1"/>
  <c r="J95" i="1"/>
  <c r="J83" i="1"/>
  <c r="J19" i="1"/>
  <c r="J173" i="1"/>
  <c r="J141" i="1"/>
  <c r="J87" i="1"/>
  <c r="J71" i="1"/>
  <c r="J55" i="1"/>
  <c r="J39" i="1"/>
  <c r="J23" i="1"/>
  <c r="J7" i="1"/>
  <c r="J68" i="1"/>
  <c r="J90" i="1"/>
  <c r="J74" i="1"/>
  <c r="J58" i="1"/>
  <c r="J42" i="1"/>
  <c r="J26" i="1"/>
  <c r="J10" i="1"/>
  <c r="J180" i="1"/>
  <c r="J20" i="1"/>
  <c r="J77" i="1"/>
  <c r="J61" i="1"/>
  <c r="J45" i="1"/>
  <c r="J29" i="1"/>
  <c r="J13" i="1"/>
  <c r="J66" i="1"/>
  <c r="J24" i="1"/>
  <c r="J72" i="1"/>
  <c r="J67" i="1"/>
  <c r="J51" i="1"/>
  <c r="J35" i="1"/>
  <c r="J148" i="1"/>
  <c r="J140" i="1"/>
  <c r="J89" i="1"/>
  <c r="J73" i="1"/>
  <c r="J41" i="1"/>
  <c r="J25" i="1"/>
  <c r="J120" i="1"/>
  <c r="J112" i="1"/>
  <c r="J104" i="1"/>
  <c r="J15" i="1"/>
  <c r="J48" i="1"/>
  <c r="J64" i="1"/>
  <c r="J145" i="1"/>
  <c r="J193" i="1"/>
  <c r="J56" i="1"/>
  <c r="J12" i="1"/>
  <c r="J86" i="1"/>
  <c r="J70" i="1"/>
  <c r="J54" i="1"/>
  <c r="J38" i="1"/>
  <c r="J22" i="1"/>
  <c r="J6" i="1"/>
  <c r="J60" i="1"/>
  <c r="J8" i="1"/>
  <c r="J9" i="1"/>
  <c r="J161" i="1"/>
  <c r="J79" i="1"/>
  <c r="J63" i="1"/>
  <c r="J47" i="1"/>
  <c r="J31" i="1"/>
  <c r="J88" i="1"/>
  <c r="J196" i="1"/>
  <c r="J44" i="1"/>
  <c r="J85" i="1"/>
  <c r="J69" i="1"/>
  <c r="J53" i="1"/>
  <c r="J37" i="1"/>
  <c r="J21" i="1"/>
  <c r="J92" i="1"/>
  <c r="J40" i="1"/>
  <c r="J16" i="1"/>
  <c r="J210" i="1"/>
  <c r="J194" i="1"/>
  <c r="J178" i="1"/>
  <c r="J162" i="1"/>
  <c r="J146" i="1"/>
  <c r="J211" i="1"/>
  <c r="J195" i="1"/>
  <c r="J179" i="1"/>
  <c r="J163" i="1"/>
  <c r="J147" i="1"/>
  <c r="J121" i="1"/>
  <c r="J105" i="1"/>
  <c r="J93" i="1"/>
  <c r="J192" i="1"/>
  <c r="J164" i="1"/>
  <c r="J130" i="1"/>
  <c r="J122" i="1"/>
  <c r="J114" i="1"/>
  <c r="J106" i="1"/>
  <c r="J98" i="1"/>
  <c r="J189" i="1"/>
  <c r="J91" i="1"/>
  <c r="J75" i="1"/>
  <c r="J59" i="1"/>
  <c r="J43" i="1"/>
  <c r="J27" i="1"/>
  <c r="J11" i="1"/>
  <c r="J76" i="1"/>
  <c r="J36" i="1"/>
  <c r="J78" i="1"/>
  <c r="J62" i="1"/>
  <c r="J46" i="1"/>
  <c r="J30" i="1"/>
  <c r="J14" i="1"/>
  <c r="J188" i="1"/>
  <c r="J84" i="1"/>
  <c r="J32" i="1"/>
  <c r="J81" i="1"/>
  <c r="J65" i="1"/>
  <c r="J49" i="1"/>
  <c r="J33" i="1"/>
  <c r="J17" i="1"/>
  <c r="J80" i="1"/>
  <c r="J28" i="1"/>
  <c r="N9" i="1" l="1" a="1"/>
  <c r="N9" i="1" s="1"/>
  <c r="O9" i="1" s="1" a="1"/>
  <c r="O9" i="1" s="1"/>
  <c r="N10" i="1" a="1"/>
  <c r="N10" i="1" s="1"/>
  <c r="O10" i="1" s="1" a="1"/>
  <c r="O10" i="1" s="1"/>
  <c r="N12" i="1" a="1"/>
  <c r="N12" i="1" s="1"/>
  <c r="O12" i="1" s="1" a="1"/>
  <c r="O12" i="1" s="1"/>
  <c r="N14" i="1" a="1"/>
  <c r="N14" i="1" s="1"/>
  <c r="O14" i="1" s="1" a="1"/>
  <c r="O14" i="1" s="1"/>
  <c r="N13" i="1" a="1"/>
  <c r="N13" i="1" s="1"/>
  <c r="O13" i="1" s="1" a="1"/>
  <c r="O13" i="1" s="1"/>
  <c r="N11" i="1" a="1"/>
  <c r="N11" i="1" s="1"/>
  <c r="O11" i="1" s="1" a="1"/>
  <c r="O11" i="1" s="1"/>
  <c r="N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5" authorId="0" shapeId="0" xr:uid="{294390B8-B6BF-4973-8FBD-2850AEEFD633}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Order of appearance in the achievements tab. Click on "Sort by ID" to sort.</t>
        </r>
      </text>
    </comment>
    <comment ref="C5" authorId="0" shapeId="0" xr:uid="{4F94102E-1B38-4F20-8AF6-9EB71F3130E1}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Abbreviation for raid filter.
Feel free to change them if you want.</t>
        </r>
      </text>
    </comment>
    <comment ref="E5" authorId="0" shapeId="0" xr:uid="{4307DC70-F7D2-4403-9BE8-37D5CC0F1B04}">
      <text>
        <r>
          <rPr>
            <b/>
            <sz val="9"/>
            <color indexed="81"/>
            <rFont val="Segoe UI"/>
            <charset val="1"/>
          </rPr>
          <t>Autor:</t>
        </r>
        <r>
          <rPr>
            <sz val="9"/>
            <color indexed="81"/>
            <rFont val="Segoe UI"/>
            <charset val="1"/>
          </rPr>
          <t xml:space="preserve">
Summonable:
0 - not summonable
1 - summonable
X - guild raid</t>
        </r>
      </text>
    </comment>
  </commentList>
</comments>
</file>

<file path=xl/sharedStrings.xml><?xml version="1.0" encoding="utf-8"?>
<sst xmlns="http://schemas.openxmlformats.org/spreadsheetml/2006/main" count="863" uniqueCount="415">
  <si>
    <t>ID</t>
  </si>
  <si>
    <t>Raid Name</t>
  </si>
  <si>
    <t>Abb</t>
  </si>
  <si>
    <t>Size</t>
  </si>
  <si>
    <t>Sum</t>
  </si>
  <si>
    <t>Current</t>
  </si>
  <si>
    <t>Goal</t>
  </si>
  <si>
    <t>AP</t>
  </si>
  <si>
    <t>Remaining</t>
  </si>
  <si>
    <t>Value</t>
  </si>
  <si>
    <t>Type</t>
  </si>
  <si>
    <t>Horgrak</t>
  </si>
  <si>
    <t>horg</t>
  </si>
  <si>
    <t>Regular</t>
  </si>
  <si>
    <t>Ataxes</t>
  </si>
  <si>
    <t>atax</t>
  </si>
  <si>
    <t>Briareus</t>
  </si>
  <si>
    <t>bri</t>
  </si>
  <si>
    <t>Bloodmane</t>
  </si>
  <si>
    <t>mane</t>
  </si>
  <si>
    <t>Ironclad</t>
  </si>
  <si>
    <t>iron</t>
  </si>
  <si>
    <t>Gunnar</t>
  </si>
  <si>
    <t>gun</t>
  </si>
  <si>
    <t>Maraak</t>
  </si>
  <si>
    <t>mara</t>
  </si>
  <si>
    <t>Hargamesh</t>
  </si>
  <si>
    <t>harg</t>
  </si>
  <si>
    <t>Lair</t>
  </si>
  <si>
    <t>lair</t>
  </si>
  <si>
    <t>Krugnug</t>
  </si>
  <si>
    <t>krug</t>
  </si>
  <si>
    <t>Thaltherda</t>
  </si>
  <si>
    <t>thal</t>
  </si>
  <si>
    <t>Serpina</t>
  </si>
  <si>
    <t>serp</t>
  </si>
  <si>
    <t>Zugen</t>
  </si>
  <si>
    <t>zug</t>
  </si>
  <si>
    <t>Nereidon</t>
  </si>
  <si>
    <t>nere</t>
  </si>
  <si>
    <t>Rekkr 2</t>
  </si>
  <si>
    <t>rekk</t>
  </si>
  <si>
    <t>Alchemist</t>
  </si>
  <si>
    <t>alch</t>
  </si>
  <si>
    <t>Bakku</t>
  </si>
  <si>
    <t>bak</t>
  </si>
  <si>
    <t>Valtrias</t>
  </si>
  <si>
    <t>val</t>
  </si>
  <si>
    <t>Bad Blood</t>
  </si>
  <si>
    <t>bad</t>
  </si>
  <si>
    <t>Frost</t>
  </si>
  <si>
    <t>snow</t>
  </si>
  <si>
    <t>Bloodsuckers</t>
  </si>
  <si>
    <t>suck</t>
  </si>
  <si>
    <t>Solus</t>
  </si>
  <si>
    <t>sol</t>
  </si>
  <si>
    <t>Deadly Horgrak</t>
  </si>
  <si>
    <t>hor</t>
  </si>
  <si>
    <t>Deadly</t>
  </si>
  <si>
    <t>Garganoth</t>
  </si>
  <si>
    <t>gar</t>
  </si>
  <si>
    <t>Mazalu</t>
  </si>
  <si>
    <t>maz</t>
  </si>
  <si>
    <t>Alice</t>
  </si>
  <si>
    <t>ali</t>
  </si>
  <si>
    <t>Scylla</t>
  </si>
  <si>
    <t>scy</t>
  </si>
  <si>
    <t>Kerberos</t>
  </si>
  <si>
    <t>ker</t>
  </si>
  <si>
    <t>Zombies</t>
  </si>
  <si>
    <t>zom</t>
  </si>
  <si>
    <t>Nidhogg</t>
  </si>
  <si>
    <t>nid</t>
  </si>
  <si>
    <t>Erakka-Sak</t>
  </si>
  <si>
    <t>era</t>
  </si>
  <si>
    <t>Tisiphone</t>
  </si>
  <si>
    <t>tisi</t>
  </si>
  <si>
    <t>Grimsly</t>
  </si>
  <si>
    <t>grim</t>
  </si>
  <si>
    <t>Riddler</t>
  </si>
  <si>
    <t>ridd</t>
  </si>
  <si>
    <t>Baroness</t>
  </si>
  <si>
    <t>baro</t>
  </si>
  <si>
    <t>Hurkus</t>
  </si>
  <si>
    <t>hur</t>
  </si>
  <si>
    <t>Gulkinari</t>
  </si>
  <si>
    <t>gulki</t>
  </si>
  <si>
    <t>Korxun</t>
  </si>
  <si>
    <t>korx</t>
  </si>
  <si>
    <t>Ragunt</t>
  </si>
  <si>
    <t>rag</t>
  </si>
  <si>
    <t>Shadow</t>
  </si>
  <si>
    <t>shad</t>
  </si>
  <si>
    <t>Rudaru</t>
  </si>
  <si>
    <t>rud</t>
  </si>
  <si>
    <t>Doppelganger</t>
  </si>
  <si>
    <t>dopp</t>
  </si>
  <si>
    <t>Yule Punish</t>
  </si>
  <si>
    <t>yule</t>
  </si>
  <si>
    <t>Shade</t>
  </si>
  <si>
    <t>Ascendant's Echo</t>
  </si>
  <si>
    <t>echo</t>
  </si>
  <si>
    <t>Dryads</t>
  </si>
  <si>
    <t>dry</t>
  </si>
  <si>
    <t>Lost</t>
  </si>
  <si>
    <t>lost</t>
  </si>
  <si>
    <t>BHLT</t>
  </si>
  <si>
    <t>bhlt</t>
  </si>
  <si>
    <t>Deadly BHLT</t>
  </si>
  <si>
    <t>Thurmavus</t>
  </si>
  <si>
    <t>thur</t>
  </si>
  <si>
    <t>Workshop</t>
  </si>
  <si>
    <t>shop</t>
  </si>
  <si>
    <t>Firecracker</t>
  </si>
  <si>
    <t>fire</t>
  </si>
  <si>
    <t>Grune</t>
  </si>
  <si>
    <t>grun</t>
  </si>
  <si>
    <t>Lurking Horror</t>
  </si>
  <si>
    <t>lurk</t>
  </si>
  <si>
    <t>Gravlok</t>
  </si>
  <si>
    <t>grav</t>
  </si>
  <si>
    <t>Hydra</t>
  </si>
  <si>
    <t>hyd</t>
  </si>
  <si>
    <t>Stein</t>
  </si>
  <si>
    <t>stein</t>
  </si>
  <si>
    <t>Kang</t>
  </si>
  <si>
    <t>kang</t>
  </si>
  <si>
    <t>Wexxa</t>
  </si>
  <si>
    <t>wex</t>
  </si>
  <si>
    <t>Rift</t>
  </si>
  <si>
    <t>rift</t>
  </si>
  <si>
    <t>Leonine</t>
  </si>
  <si>
    <t>leo</t>
  </si>
  <si>
    <t>Teremarthu</t>
  </si>
  <si>
    <t>tere</t>
  </si>
  <si>
    <t>Z'ralk'thalat</t>
  </si>
  <si>
    <t>ralk</t>
  </si>
  <si>
    <t>Malleus</t>
  </si>
  <si>
    <t>mal</t>
  </si>
  <si>
    <t>Verkiteia</t>
  </si>
  <si>
    <t>verk</t>
  </si>
  <si>
    <t>Drulcharus</t>
  </si>
  <si>
    <t>drul</t>
  </si>
  <si>
    <t>Gigantomachy</t>
  </si>
  <si>
    <t>giga</t>
  </si>
  <si>
    <t>G. Killers</t>
  </si>
  <si>
    <t>gree</t>
  </si>
  <si>
    <t>Yule Present</t>
  </si>
  <si>
    <t>Blood Dancer</t>
  </si>
  <si>
    <t>danc</t>
  </si>
  <si>
    <t>Sporeforms</t>
  </si>
  <si>
    <t>spore</t>
  </si>
  <si>
    <t>Elvigar</t>
  </si>
  <si>
    <t>elv</t>
  </si>
  <si>
    <t>Hoton</t>
  </si>
  <si>
    <t>hoton</t>
  </si>
  <si>
    <t>Initiates</t>
  </si>
  <si>
    <t>ini</t>
  </si>
  <si>
    <t>Umbra</t>
  </si>
  <si>
    <t>umb</t>
  </si>
  <si>
    <t>Rathanas</t>
  </si>
  <si>
    <t>rath</t>
  </si>
  <si>
    <t>Deadly Ragetalon</t>
  </si>
  <si>
    <t>talo</t>
  </si>
  <si>
    <t>beli</t>
  </si>
  <si>
    <t>Deadly Verkiteia</t>
  </si>
  <si>
    <t>Erebus</t>
  </si>
  <si>
    <t>ereb</t>
  </si>
  <si>
    <t>Sir Cai</t>
  </si>
  <si>
    <t>sir</t>
  </si>
  <si>
    <t>Bogstench</t>
  </si>
  <si>
    <t>bog</t>
  </si>
  <si>
    <t>Ulfrik</t>
  </si>
  <si>
    <t>ulf</t>
  </si>
  <si>
    <t>Tainted</t>
  </si>
  <si>
    <t>taint</t>
  </si>
  <si>
    <t>Guilbert</t>
  </si>
  <si>
    <t>guil</t>
  </si>
  <si>
    <t>Sisters</t>
  </si>
  <si>
    <t>sis</t>
  </si>
  <si>
    <t>Mesyra</t>
  </si>
  <si>
    <t>mes</t>
  </si>
  <si>
    <t>Nimrod</t>
  </si>
  <si>
    <t>nim</t>
  </si>
  <si>
    <t>Phaedra</t>
  </si>
  <si>
    <t>phae</t>
  </si>
  <si>
    <t>Jack</t>
  </si>
  <si>
    <t>jack</t>
  </si>
  <si>
    <t>Jack's Revenge</t>
  </si>
  <si>
    <t>Marius</t>
  </si>
  <si>
    <t>mari</t>
  </si>
  <si>
    <t>Frogmen</t>
  </si>
  <si>
    <t>frog</t>
  </si>
  <si>
    <t>Burbata</t>
  </si>
  <si>
    <t>burb</t>
  </si>
  <si>
    <t>Yydian</t>
  </si>
  <si>
    <t>yy</t>
  </si>
  <si>
    <t>Shaar</t>
  </si>
  <si>
    <t>shaar</t>
  </si>
  <si>
    <t>Rannveig</t>
  </si>
  <si>
    <t>rann</t>
  </si>
  <si>
    <t>Darkness</t>
  </si>
  <si>
    <t>dark</t>
  </si>
  <si>
    <t>Valley of Death</t>
  </si>
  <si>
    <t>vall</t>
  </si>
  <si>
    <t>Murgrux</t>
  </si>
  <si>
    <t>mur</t>
  </si>
  <si>
    <t>Colossus</t>
  </si>
  <si>
    <t>col</t>
  </si>
  <si>
    <t>Forest</t>
  </si>
  <si>
    <t>for</t>
  </si>
  <si>
    <t>Stormship</t>
  </si>
  <si>
    <t>ship</t>
  </si>
  <si>
    <t>Jershan'thurn's Portal</t>
  </si>
  <si>
    <t>jer</t>
  </si>
  <si>
    <t>Pods</t>
  </si>
  <si>
    <t>pod</t>
  </si>
  <si>
    <t>Mantis</t>
  </si>
  <si>
    <t>mant</t>
  </si>
  <si>
    <t>Satyr</t>
  </si>
  <si>
    <t>saty</t>
  </si>
  <si>
    <t>Shadow Assassins</t>
  </si>
  <si>
    <t>ass</t>
  </si>
  <si>
    <t>Underworld</t>
  </si>
  <si>
    <t>underw</t>
  </si>
  <si>
    <t>Void Queen Anastis</t>
  </si>
  <si>
    <t>void</t>
  </si>
  <si>
    <t>Tyranthius</t>
  </si>
  <si>
    <t>tyr</t>
  </si>
  <si>
    <t>Nalagarst</t>
  </si>
  <si>
    <t>nala</t>
  </si>
  <si>
    <t>Kalaxia</t>
  </si>
  <si>
    <t>kala</t>
  </si>
  <si>
    <t>Bellarius</t>
  </si>
  <si>
    <t>bella</t>
  </si>
  <si>
    <t>Mardachus</t>
  </si>
  <si>
    <t>mard</t>
  </si>
  <si>
    <t>Tenebra</t>
  </si>
  <si>
    <t>tene</t>
  </si>
  <si>
    <t>Valanzes</t>
  </si>
  <si>
    <t>Caracalla</t>
  </si>
  <si>
    <t>cara</t>
  </si>
  <si>
    <t>Siculus</t>
  </si>
  <si>
    <t>sic</t>
  </si>
  <si>
    <t>Ruzzik</t>
  </si>
  <si>
    <t>ruzz</t>
  </si>
  <si>
    <t>Cannibal</t>
  </si>
  <si>
    <t>canni</t>
  </si>
  <si>
    <t>Vortex</t>
  </si>
  <si>
    <t>vor</t>
  </si>
  <si>
    <t>Xerkara</t>
  </si>
  <si>
    <t>xer</t>
  </si>
  <si>
    <t>Kr'xunara</t>
  </si>
  <si>
    <t>xuna</t>
  </si>
  <si>
    <t>Clock Dragon</t>
  </si>
  <si>
    <t>clock</t>
  </si>
  <si>
    <t>Hellemental</t>
  </si>
  <si>
    <t>hell</t>
  </si>
  <si>
    <t>Kanehuar</t>
  </si>
  <si>
    <t>kane</t>
  </si>
  <si>
    <t>Karkata</t>
  </si>
  <si>
    <t>kark</t>
  </si>
  <si>
    <t>Abomination</t>
  </si>
  <si>
    <t>abom</t>
  </si>
  <si>
    <t>Way Warden</t>
  </si>
  <si>
    <t>ward</t>
  </si>
  <si>
    <t>Behemoth</t>
  </si>
  <si>
    <t>behe</t>
  </si>
  <si>
    <t>Badlands</t>
  </si>
  <si>
    <t>Fear</t>
  </si>
  <si>
    <t>fear</t>
  </si>
  <si>
    <t>Frozen Spire</t>
  </si>
  <si>
    <t>spire</t>
  </si>
  <si>
    <t>Ancients' Engine</t>
  </si>
  <si>
    <t>engi</t>
  </si>
  <si>
    <t>Stampede</t>
  </si>
  <si>
    <t>stam</t>
  </si>
  <si>
    <t>Balor</t>
  </si>
  <si>
    <t>bal</t>
  </si>
  <si>
    <t>Deadly Bastion</t>
  </si>
  <si>
    <t>bast</t>
  </si>
  <si>
    <t>Gateway</t>
  </si>
  <si>
    <t>gate</t>
  </si>
  <si>
    <t>Terracles Beetle</t>
  </si>
  <si>
    <t>beet</t>
  </si>
  <si>
    <t>Craenaestra</t>
  </si>
  <si>
    <t>crae</t>
  </si>
  <si>
    <t>Deadly Kalaxia</t>
  </si>
  <si>
    <t>Imryx</t>
  </si>
  <si>
    <t>imr</t>
  </si>
  <si>
    <t>Trekex</t>
  </si>
  <si>
    <t>trek</t>
  </si>
  <si>
    <t>Gataalli</t>
  </si>
  <si>
    <t>gata</t>
  </si>
  <si>
    <t>Engines of War</t>
  </si>
  <si>
    <t>war</t>
  </si>
  <si>
    <t>Corrupted Wilds</t>
  </si>
  <si>
    <t>wild</t>
  </si>
  <si>
    <t>D. Dreams</t>
  </si>
  <si>
    <t>drac</t>
  </si>
  <si>
    <t>Horthania</t>
  </si>
  <si>
    <t>hort</t>
  </si>
  <si>
    <t>Jormungan</t>
  </si>
  <si>
    <t>jor</t>
  </si>
  <si>
    <t>Euryino</t>
  </si>
  <si>
    <t>eur</t>
  </si>
  <si>
    <t>Hybrid</t>
  </si>
  <si>
    <t>hyb</t>
  </si>
  <si>
    <t>Red Snow</t>
  </si>
  <si>
    <t>red</t>
  </si>
  <si>
    <t>Drakontos</t>
  </si>
  <si>
    <t>drak</t>
  </si>
  <si>
    <t>Deadly Clockwork</t>
  </si>
  <si>
    <t>Konungar</t>
  </si>
  <si>
    <t>kon</t>
  </si>
  <si>
    <t>Winter Wyrm</t>
  </si>
  <si>
    <t>den</t>
  </si>
  <si>
    <t>Deadly Drakontos</t>
  </si>
  <si>
    <t>Vas'ok</t>
  </si>
  <si>
    <t>vas</t>
  </si>
  <si>
    <t>Deadly Vas'ok</t>
  </si>
  <si>
    <t>Pit of Bone</t>
  </si>
  <si>
    <t>bone</t>
  </si>
  <si>
    <t>Clockwork Destroyer</t>
  </si>
  <si>
    <t>dest</t>
  </si>
  <si>
    <t>Celeano</t>
  </si>
  <si>
    <t>-</t>
  </si>
  <si>
    <t>Guild</t>
  </si>
  <si>
    <t>Arachna</t>
  </si>
  <si>
    <t>Al-Azab</t>
  </si>
  <si>
    <t>Groblar</t>
  </si>
  <si>
    <t>Deathglare</t>
  </si>
  <si>
    <t>Ragetalon</t>
  </si>
  <si>
    <t>Gladiators</t>
  </si>
  <si>
    <t>Tetrachos</t>
  </si>
  <si>
    <t>Scuttlegore</t>
  </si>
  <si>
    <t>Tithrasia</t>
  </si>
  <si>
    <t>Black Moon Pack</t>
  </si>
  <si>
    <t>Varlachleth</t>
  </si>
  <si>
    <t>Euphronios</t>
  </si>
  <si>
    <t>Slaughterers</t>
  </si>
  <si>
    <t>Lunatics</t>
  </si>
  <si>
    <t>Banhammer</t>
  </si>
  <si>
    <t>Agony</t>
  </si>
  <si>
    <t>Obyron</t>
  </si>
  <si>
    <t>Hammer</t>
  </si>
  <si>
    <t>Dirthax</t>
  </si>
  <si>
    <t>Dreadbloom</t>
  </si>
  <si>
    <t>Rhalmarius</t>
  </si>
  <si>
    <t>Batiatus' Elite Gladiators</t>
  </si>
  <si>
    <t>Krasgore</t>
  </si>
  <si>
    <t>Xessus</t>
  </si>
  <si>
    <t>Malchar</t>
  </si>
  <si>
    <t>N'rlux</t>
  </si>
  <si>
    <t>Salome</t>
  </si>
  <si>
    <t>Apoc. Demon</t>
  </si>
  <si>
    <t>Grundus</t>
  </si>
  <si>
    <t>Tuxargus</t>
  </si>
  <si>
    <t>Nylatrix</t>
  </si>
  <si>
    <t>Keron</t>
  </si>
  <si>
    <t>Adrastos</t>
  </si>
  <si>
    <t>Doomglare</t>
  </si>
  <si>
    <t>Dar'Hed'Nal</t>
  </si>
  <si>
    <t>Paracoprion</t>
  </si>
  <si>
    <t>Bog Bodies</t>
  </si>
  <si>
    <t>Clockwork Giant</t>
  </si>
  <si>
    <t>Fire Elemental</t>
  </si>
  <si>
    <t>Fae Dragon</t>
  </si>
  <si>
    <t>Strength Potion</t>
  </si>
  <si>
    <t>Bash Bros</t>
  </si>
  <si>
    <t>Unholy Rite</t>
  </si>
  <si>
    <t>Soldier Ants</t>
  </si>
  <si>
    <t>Hullbore Wyrms</t>
  </si>
  <si>
    <t>Djinn</t>
  </si>
  <si>
    <t>Soul Collector</t>
  </si>
  <si>
    <t>Whitepelts</t>
  </si>
  <si>
    <t>Black Hand Pillagers</t>
  </si>
  <si>
    <t>Xax'zisz</t>
  </si>
  <si>
    <t>Dreadmaw</t>
  </si>
  <si>
    <t>Regexp strings</t>
  </si>
  <si>
    <t>Raid summon</t>
  </si>
  <si>
    <t>Group:</t>
  </si>
  <si>
    <t>Small</t>
  </si>
  <si>
    <t>Medium</t>
  </si>
  <si>
    <t>Large</t>
  </si>
  <si>
    <t>Epic</t>
  </si>
  <si>
    <t>Colossal</t>
  </si>
  <si>
    <t>Gigantic</t>
  </si>
  <si>
    <t>Summoned Raid Filter</t>
  </si>
  <si>
    <t>X</t>
  </si>
  <si>
    <t>r(ra|ae|w|ec|ai)|oid|c\.|ks</t>
  </si>
  <si>
    <t>Campaign name</t>
  </si>
  <si>
    <t>Bastion of Blood</t>
  </si>
  <si>
    <t>Monsters and Magma</t>
  </si>
  <si>
    <t>The Grey Death</t>
  </si>
  <si>
    <t>Giants of Chalua</t>
  </si>
  <si>
    <t>The Frozen War</t>
  </si>
  <si>
    <t>The Nightmare Queen's Horde</t>
  </si>
  <si>
    <t>The Risen Temple</t>
  </si>
  <si>
    <t>The Black Hand Holdout</t>
  </si>
  <si>
    <t>The Covetous Cavern</t>
  </si>
  <si>
    <t>Ironpeak Halls</t>
  </si>
  <si>
    <t>Scales of Battle</t>
  </si>
  <si>
    <t>Complete</t>
  </si>
  <si>
    <t>Any challenge</t>
  </si>
  <si>
    <t>Speed Run</t>
  </si>
  <si>
    <t>Hailstorm</t>
  </si>
  <si>
    <t>Nerfed</t>
  </si>
  <si>
    <t>Rare Spawn</t>
  </si>
  <si>
    <t>Fatigue</t>
  </si>
  <si>
    <t>Endurance</t>
  </si>
  <si>
    <t>Auto-Sort Off</t>
  </si>
  <si>
    <t>Echo Raider</t>
  </si>
  <si>
    <t>Auto-Sort On</t>
  </si>
  <si>
    <t>Sort Type: 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</si>
</sst>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ck">
        <color auto="1"/>
      </left>
      <right style="thin">
        <color theme="0" tint="-0.14996795556505021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ck">
        <color auto="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auto="1"/>
      </right>
      <top style="thick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 style="thin">
        <color theme="0" tint="-0.14996795556505021"/>
      </right>
      <top style="thin">
        <color theme="0" tint="-0.14996795556505021"/>
      </top>
      <bottom style="thick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ck">
        <color auto="1"/>
      </bottom>
      <diagonal/>
    </border>
    <border>
      <left style="thin">
        <color theme="0" tint="-0.14996795556505021"/>
      </left>
      <right style="thick">
        <color auto="1"/>
      </right>
      <top style="thin">
        <color theme="0" tint="-0.14996795556505021"/>
      </top>
      <bottom style="thick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ck">
        <color auto="1"/>
      </top>
      <bottom style="thick">
        <color auto="1"/>
      </bottom>
      <diagonal/>
    </border>
    <border>
      <left style="thin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theme="0" tint="-0.1499679555650502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rgb="FFBABABA"/>
      </bottom>
      <diagonal/>
    </border>
    <border>
      <left/>
      <right/>
      <top style="thick">
        <color indexed="64"/>
      </top>
      <bottom style="thin">
        <color rgb="FFBABABA"/>
      </bottom>
      <diagonal/>
    </border>
    <border>
      <left style="thin">
        <color auto="1"/>
      </left>
      <right style="double">
        <color indexed="64"/>
      </right>
      <top style="thick">
        <color indexed="64"/>
      </top>
      <bottom style="thin">
        <color rgb="FFBABABA"/>
      </bottom>
      <diagonal/>
    </border>
    <border>
      <left style="double">
        <color indexed="64"/>
      </left>
      <right style="thin">
        <color rgb="FFBABABA"/>
      </right>
      <top style="thick">
        <color indexed="64"/>
      </top>
      <bottom style="thin">
        <color rgb="FFBABABA"/>
      </bottom>
      <diagonal/>
    </border>
    <border>
      <left style="thin">
        <color rgb="FFBABABA"/>
      </left>
      <right/>
      <top style="thick">
        <color indexed="64"/>
      </top>
      <bottom style="thin">
        <color rgb="FFBABABA"/>
      </bottom>
      <diagonal/>
    </border>
    <border>
      <left style="thin">
        <color rgb="FFBABABA"/>
      </left>
      <right style="thin">
        <color rgb="FFBABABA"/>
      </right>
      <top style="thick">
        <color indexed="64"/>
      </top>
      <bottom style="thin">
        <color rgb="FFBABABA"/>
      </bottom>
      <diagonal/>
    </border>
    <border>
      <left style="thin">
        <color rgb="FFBABABA"/>
      </left>
      <right style="thin">
        <color rgb="FFBABABA"/>
      </right>
      <top style="thin">
        <color rgb="FFBABABA"/>
      </top>
      <bottom style="thin">
        <color rgb="FFBABABA"/>
      </bottom>
      <diagonal/>
    </border>
    <border>
      <left style="thin">
        <color rgb="FFBABABA"/>
      </left>
      <right style="thin">
        <color rgb="FFBABABA"/>
      </right>
      <top/>
      <bottom/>
      <diagonal/>
    </border>
    <border>
      <left style="thin">
        <color rgb="FFBABABA"/>
      </left>
      <right style="thick">
        <color indexed="64"/>
      </right>
      <top style="thick">
        <color indexed="64"/>
      </top>
      <bottom style="thin">
        <color rgb="FFBABABA"/>
      </bottom>
      <diagonal/>
    </border>
    <border>
      <left style="thick">
        <color indexed="64"/>
      </left>
      <right style="thin">
        <color indexed="64"/>
      </right>
      <top style="thin">
        <color rgb="FFBABABA"/>
      </top>
      <bottom style="thin">
        <color rgb="FFBABABA"/>
      </bottom>
      <diagonal/>
    </border>
    <border>
      <left/>
      <right/>
      <top style="thin">
        <color rgb="FFBABABA"/>
      </top>
      <bottom style="thin">
        <color rgb="FFBABABA"/>
      </bottom>
      <diagonal/>
    </border>
    <border>
      <left style="thin">
        <color indexed="64"/>
      </left>
      <right style="double">
        <color indexed="64"/>
      </right>
      <top style="thin">
        <color rgb="FFBABABA"/>
      </top>
      <bottom style="thin">
        <color rgb="FFBABABA"/>
      </bottom>
      <diagonal/>
    </border>
    <border>
      <left style="double">
        <color indexed="64"/>
      </left>
      <right style="thin">
        <color rgb="FFBABABA"/>
      </right>
      <top style="thin">
        <color rgb="FFBABABA"/>
      </top>
      <bottom style="thin">
        <color rgb="FFBABABA"/>
      </bottom>
      <diagonal/>
    </border>
    <border>
      <left style="thin">
        <color rgb="FFBABABA"/>
      </left>
      <right/>
      <top style="thin">
        <color rgb="FFBABABA"/>
      </top>
      <bottom style="thin">
        <color rgb="FFBABABA"/>
      </bottom>
      <diagonal/>
    </border>
    <border>
      <left style="thin">
        <color rgb="FFBABABA"/>
      </left>
      <right style="thick">
        <color indexed="64"/>
      </right>
      <top style="thin">
        <color rgb="FFBABABA"/>
      </top>
      <bottom style="thin">
        <color rgb="FFBABABA"/>
      </bottom>
      <diagonal/>
    </border>
    <border>
      <left style="thin">
        <color indexed="64"/>
      </left>
      <right/>
      <top style="thin">
        <color rgb="FFBABABA"/>
      </top>
      <bottom style="thin">
        <color rgb="FFBABABA"/>
      </bottom>
      <diagonal/>
    </border>
    <border>
      <left style="thick">
        <color indexed="64"/>
      </left>
      <right style="thin">
        <color indexed="64"/>
      </right>
      <top style="thin">
        <color rgb="FFBABABA"/>
      </top>
      <bottom style="thick">
        <color indexed="64"/>
      </bottom>
      <diagonal/>
    </border>
    <border>
      <left style="thin">
        <color indexed="64"/>
      </left>
      <right/>
      <top style="thin">
        <color rgb="FFBABABA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thin">
        <color rgb="FFBABABA"/>
      </top>
      <bottom style="thick">
        <color indexed="64"/>
      </bottom>
      <diagonal/>
    </border>
    <border>
      <left style="double">
        <color indexed="64"/>
      </left>
      <right style="thin">
        <color rgb="FFBABABA"/>
      </right>
      <top style="thin">
        <color rgb="FFBABABA"/>
      </top>
      <bottom style="thick">
        <color indexed="64"/>
      </bottom>
      <diagonal/>
    </border>
    <border>
      <left style="thin">
        <color rgb="FFBABABA"/>
      </left>
      <right/>
      <top style="thin">
        <color rgb="FFBABABA"/>
      </top>
      <bottom style="thick">
        <color indexed="64"/>
      </bottom>
      <diagonal/>
    </border>
    <border>
      <left style="thin">
        <color rgb="FFBABABA"/>
      </left>
      <right style="thin">
        <color rgb="FFBABABA"/>
      </right>
      <top style="thin">
        <color rgb="FFBABABA"/>
      </top>
      <bottom style="thick">
        <color indexed="64"/>
      </bottom>
      <diagonal/>
    </border>
    <border>
      <left style="thin">
        <color rgb="FFBABABA"/>
      </left>
      <right style="thick">
        <color indexed="64"/>
      </right>
      <top style="thin">
        <color rgb="FFBABABA"/>
      </top>
      <bottom style="thick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 style="thin">
        <color theme="0" tint="-0.14996795556505021"/>
      </bottom>
      <diagonal/>
    </border>
    <border>
      <left/>
      <right/>
      <top style="thick">
        <color indexed="64"/>
      </top>
      <bottom style="thin">
        <color theme="0" tint="-0.14996795556505021"/>
      </bottom>
      <diagonal/>
    </border>
    <border>
      <left/>
      <right style="thick">
        <color indexed="64"/>
      </right>
      <top style="thick">
        <color indexed="64"/>
      </top>
      <bottom style="thin">
        <color theme="0" tint="-0.14996795556505021"/>
      </bottom>
      <diagonal/>
    </border>
    <border>
      <left style="thick">
        <color indexed="64"/>
      </left>
      <right/>
      <top style="thin">
        <color theme="0" tint="-0.14996795556505021"/>
      </top>
      <bottom style="thick">
        <color indexed="64"/>
      </bottom>
      <diagonal/>
    </border>
    <border>
      <left/>
      <right/>
      <top style="thin">
        <color theme="0" tint="-0.1499679555650502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14996795556505021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theme="0" tint="-0.1499679555650502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theme="0" tint="-0.14996795556505021"/>
      </bottom>
      <diagonal/>
    </border>
    <border>
      <left style="thick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double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auto="1"/>
      </left>
      <right style="thin">
        <color auto="1"/>
      </right>
      <top style="thin">
        <color theme="0" tint="-0.1499679555650502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theme="0" tint="-0.14996795556505021"/>
      </top>
      <bottom style="thick">
        <color auto="1"/>
      </bottom>
      <diagonal/>
    </border>
    <border>
      <left style="double">
        <color auto="1"/>
      </left>
      <right style="thin">
        <color theme="0" tint="-0.14996795556505021"/>
      </right>
      <top style="thick">
        <color indexed="64"/>
      </top>
      <bottom style="thin">
        <color theme="0" tint="-0.14996795556505021"/>
      </bottom>
      <diagonal/>
    </border>
    <border>
      <left style="double">
        <color auto="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auto="1"/>
      </left>
      <right style="thin">
        <color theme="0" tint="-0.14996795556505021"/>
      </right>
      <top style="thin">
        <color theme="0" tint="-0.14996795556505021"/>
      </top>
      <bottom style="thick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3" fontId="0" fillId="0" borderId="22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43" fontId="0" fillId="0" borderId="0" xfId="1" applyNumberFormat="1" applyFont="1" applyAlignment="1">
      <alignment horizontal="center" vertical="center"/>
    </xf>
    <xf numFmtId="43" fontId="0" fillId="0" borderId="41" xfId="1" applyNumberFormat="1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43" fontId="0" fillId="0" borderId="3" xfId="1" applyNumberFormat="1" applyFon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43" fontId="0" fillId="0" borderId="6" xfId="1" applyNumberFormat="1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43" fontId="0" fillId="0" borderId="9" xfId="1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Alignment="1"/>
  </cellXfs>
  <cellStyles count="2">
    <cellStyle name="Normalno" xfId="0" builtinId="0"/>
    <cellStyle name="Zarez" xfId="1" builtinId="3"/>
  </cellStyles>
  <dxfs count="12">
    <dxf>
      <fill>
        <patternFill>
          <bgColor rgb="FF996600"/>
        </patternFill>
      </fill>
    </dxf>
    <dxf>
      <fill>
        <patternFill>
          <bgColor theme="0" tint="-0.34998626667073579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934BC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954CC"/>
        </patternFill>
      </fill>
    </dxf>
  </dxfs>
  <tableStyles count="0" defaultTableStyle="TableStyleMedium2" defaultPivotStyle="PivotStyleLight16"/>
  <colors>
    <mruColors>
      <color rgb="FF934BC9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5" name="BtnSwitchAuto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6" name="BtnNameS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1027" name="BtnIDS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4</xdr:row>
          <xdr:rowOff>104775</xdr:rowOff>
        </xdr:to>
        <xdr:sp macro="" textlink="">
          <xdr:nvSpPr>
            <xdr:cNvPr id="2049" name="SortIdBt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9525</xdr:rowOff>
        </xdr:from>
        <xdr:to>
          <xdr:col>11</xdr:col>
          <xdr:colOff>0</xdr:colOff>
          <xdr:row>6</xdr:row>
          <xdr:rowOff>123825</xdr:rowOff>
        </xdr:to>
        <xdr:sp macro="" textlink="">
          <xdr:nvSpPr>
            <xdr:cNvPr id="2050" name="SortValBt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11</xdr:col>
          <xdr:colOff>0</xdr:colOff>
          <xdr:row>8</xdr:row>
          <xdr:rowOff>123825</xdr:rowOff>
        </xdr:to>
        <xdr:sp macro="" textlink="">
          <xdr:nvSpPr>
            <xdr:cNvPr id="2051" name="SortRemainBt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11</xdr:col>
          <xdr:colOff>0</xdr:colOff>
          <xdr:row>10</xdr:row>
          <xdr:rowOff>114300</xdr:rowOff>
        </xdr:to>
        <xdr:sp macro="" textlink="">
          <xdr:nvSpPr>
            <xdr:cNvPr id="2052" name="ToggleSortBt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V220"/>
  <sheetViews>
    <sheetView tabSelected="1" topLeftCell="A96" zoomScale="160" zoomScaleNormal="160" workbookViewId="0">
      <selection activeCell="I110" sqref="I110"/>
    </sheetView>
  </sheetViews>
  <sheetFormatPr defaultRowHeight="15" customHeight="1" x14ac:dyDescent="0.25"/>
  <cols>
    <col min="1" max="1" width="4" bestFit="1" customWidth="1"/>
    <col min="2" max="2" width="22.85546875" bestFit="1" customWidth="1"/>
    <col min="3" max="3" width="7.85546875" bestFit="1" customWidth="1"/>
    <col min="4" max="4" width="4.5703125" bestFit="1" customWidth="1"/>
    <col min="5" max="5" width="4.85546875" bestFit="1" customWidth="1"/>
    <col min="6" max="6" width="7.7109375" bestFit="1" customWidth="1"/>
    <col min="7" max="8" width="5" bestFit="1" customWidth="1"/>
    <col min="9" max="9" width="10.42578125" bestFit="1" customWidth="1"/>
    <col min="10" max="10" width="8" bestFit="1" customWidth="1"/>
    <col min="11" max="11" width="7.7109375" bestFit="1" customWidth="1"/>
    <col min="14" max="14" width="30.7109375" customWidth="1"/>
    <col min="15" max="15" width="13.5703125" customWidth="1"/>
    <col min="17" max="17" width="6.7109375" bestFit="1" customWidth="1"/>
    <col min="18" max="18" width="7.42578125" bestFit="1" customWidth="1"/>
    <col min="19" max="19" width="6.5703125" bestFit="1" customWidth="1"/>
    <col min="20" max="20" width="6.7109375" bestFit="1" customWidth="1"/>
    <col min="21" max="21" width="6.85546875" bestFit="1" customWidth="1"/>
    <col min="22" max="22" width="7" bestFit="1" customWidth="1"/>
  </cols>
  <sheetData>
    <row r="1" spans="1:22" ht="15" customHeight="1" x14ac:dyDescent="0.25">
      <c r="A1" s="79" t="s">
        <v>411</v>
      </c>
      <c r="B1" s="79"/>
      <c r="C1" s="79"/>
      <c r="D1" s="79"/>
      <c r="E1" s="79"/>
      <c r="F1" s="79"/>
      <c r="G1" s="79"/>
      <c r="H1" s="79"/>
      <c r="I1" s="79"/>
      <c r="J1" s="79"/>
      <c r="K1" s="79"/>
    </row>
    <row r="2" spans="1:22" ht="15" customHeight="1" x14ac:dyDescent="0.25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22" ht="15" customHeight="1" x14ac:dyDescent="0.25">
      <c r="L3" t="s">
        <v>390</v>
      </c>
    </row>
    <row r="4" spans="1:22" ht="15" customHeight="1" thickBot="1" x14ac:dyDescent="0.3"/>
    <row r="5" spans="1:22" ht="15" customHeight="1" thickTop="1" thickBot="1" x14ac:dyDescent="0.3">
      <c r="A5" s="10" t="s">
        <v>0</v>
      </c>
      <c r="B5" s="11" t="s">
        <v>1</v>
      </c>
      <c r="C5" s="12" t="s">
        <v>2</v>
      </c>
      <c r="D5" s="9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8" t="s">
        <v>10</v>
      </c>
      <c r="L5" s="72" t="s">
        <v>379</v>
      </c>
      <c r="M5" s="73"/>
      <c r="N5" s="73"/>
      <c r="O5" s="74"/>
      <c r="P5" s="37"/>
    </row>
    <row r="6" spans="1:22" ht="15" customHeight="1" thickTop="1" x14ac:dyDescent="0.25">
      <c r="A6" s="13">
        <v>1</v>
      </c>
      <c r="B6" s="14" t="s">
        <v>11</v>
      </c>
      <c r="C6" s="15" t="s">
        <v>12</v>
      </c>
      <c r="D6" s="16">
        <v>1</v>
      </c>
      <c r="E6" s="17">
        <v>1</v>
      </c>
      <c r="F6" s="38">
        <v>53</v>
      </c>
      <c r="G6" s="18">
        <f>IF(F6&lt;5, 5, IF(F6&lt;10,10,IF(F6&lt;50,50,IF(F6&lt;100,100,IF(F6&lt;250,250,IF(F6&lt;500,500,IF(F6&lt;1000,1000,0)))))))</f>
        <v>100</v>
      </c>
      <c r="H6" s="19">
        <f>IF(G6=5, 5, IF(G6=10, 10, IF(G6=50, 25, IF(G6=100, 50, IF(G6=250, 100, IF(G6=500, 250, IF(G6=1000, 500, 0)))))))</f>
        <v>50</v>
      </c>
      <c r="I6" s="18">
        <f>IF(G6=0,"DONE",G6-F6)</f>
        <v>47</v>
      </c>
      <c r="J6" s="20">
        <f>IF(G6=0,0,H6/I6+0.00001*(500-A6))</f>
        <v>1.0688197872340426</v>
      </c>
      <c r="K6" s="21" t="s">
        <v>13</v>
      </c>
      <c r="L6" s="75" t="s">
        <v>380</v>
      </c>
      <c r="M6" s="76"/>
      <c r="N6" s="76"/>
      <c r="O6" s="77"/>
      <c r="P6" s="37"/>
      <c r="Q6" s="84"/>
      <c r="R6" s="84"/>
      <c r="S6" s="84"/>
      <c r="T6" s="84"/>
      <c r="U6" s="84"/>
      <c r="V6" s="84"/>
    </row>
    <row r="7" spans="1:22" ht="15" customHeight="1" x14ac:dyDescent="0.25">
      <c r="A7" s="22">
        <v>2</v>
      </c>
      <c r="B7" s="23" t="s">
        <v>14</v>
      </c>
      <c r="C7" s="24" t="s">
        <v>15</v>
      </c>
      <c r="D7" s="25">
        <v>1</v>
      </c>
      <c r="E7" s="26">
        <v>1</v>
      </c>
      <c r="F7" s="39">
        <v>59</v>
      </c>
      <c r="G7" s="18">
        <f>IF(F7&lt;10,10,IF(F7&lt;50,50,IF(F7&lt;100,100,IF(F7&lt;250,250,IF(F7&lt;500,500,IF(F7&lt;1000,1000,IF(F7&lt;5000, 5000, 0)))))))</f>
        <v>100</v>
      </c>
      <c r="H7" s="18">
        <f>IF(G7=5, 5, IF(G7=10, 10, IF(G7=50, 25, IF(G7=100, 50, IF(G7=250, 100, IF(G7=500, 250, IF(G7=1000, 500, IF(G7=5000, 1000, 0))))))))</f>
        <v>50</v>
      </c>
      <c r="I7" s="18">
        <f>IF(G7=0,"DONE",G7-F7)</f>
        <v>41</v>
      </c>
      <c r="J7" s="20">
        <f>IF(G7=0,0,H7/I7+0.00001*(500-A7))</f>
        <v>1.2244921951219512</v>
      </c>
      <c r="K7" s="27" t="s">
        <v>13</v>
      </c>
      <c r="L7" s="2" t="s">
        <v>381</v>
      </c>
      <c r="M7" s="3">
        <v>2</v>
      </c>
      <c r="N7" s="71" t="str">
        <f>_xlfn.CONCAT(INDEX($C$6:$C$219, MATCH($N$9, $B$6:$B$219, 0), 0), "|", INDEX($C$6:$C$219, MATCH($N$10, $B$6:$B$219, 0), 0), "|", INDEX($C$6:$C$219, MATCH($N$11, $B$6:$B$219, 0), 0), "|", INDEX($C$6:$C$219, MATCH($N$12, $B$6:$B$219, 0), 0), "|", INDEX($C$6:$C$219, MATCH($N$13, $B$6:$B$219, 0), 0), "|", INDEX($C$6:$C$219, MATCH($N$14, $B$6:$B$219, 0), 0))</f>
        <v>bad|dopp|drul|nim|kala|jor</v>
      </c>
      <c r="O7" s="78"/>
      <c r="P7" s="36"/>
      <c r="Q7" s="83"/>
    </row>
    <row r="8" spans="1:22" ht="15" customHeight="1" x14ac:dyDescent="0.25">
      <c r="A8" s="22">
        <v>3</v>
      </c>
      <c r="B8" s="23" t="s">
        <v>16</v>
      </c>
      <c r="C8" s="24" t="s">
        <v>17</v>
      </c>
      <c r="D8" s="25">
        <v>1</v>
      </c>
      <c r="E8" s="26">
        <v>1</v>
      </c>
      <c r="F8" s="39">
        <v>68</v>
      </c>
      <c r="G8" s="18">
        <f>IF(F8&lt;10,10,IF(F8&lt;50,50,IF(F8&lt;100,100,IF(F8&lt;250,250,IF(F8&lt;500,500,IF(F8&lt;1000,1000,IF(F8&lt;5000, 5000, 0)))))))</f>
        <v>100</v>
      </c>
      <c r="H8" s="18">
        <f>IF(G8=5, 5, IF(G8=10, 10, IF(G8=50, 25, IF(G8=100, 50, IF(G8=250, 100, IF(G8=500, 250, IF(G8=1000, 500, IF(G8=5000, 1000, 0))))))))</f>
        <v>50</v>
      </c>
      <c r="I8" s="18">
        <f>IF(G8=0,"DONE",G8-F8)</f>
        <v>32</v>
      </c>
      <c r="J8" s="20">
        <f>IF(G8=0,0,H8/I8+0.00001*(500-A8))</f>
        <v>1.5674699999999999</v>
      </c>
      <c r="K8" s="27" t="s">
        <v>13</v>
      </c>
      <c r="L8" s="70"/>
      <c r="M8" s="71"/>
      <c r="N8" s="3" t="s">
        <v>1</v>
      </c>
      <c r="O8" s="4" t="s">
        <v>2</v>
      </c>
      <c r="P8" s="36"/>
      <c r="Q8" s="83"/>
    </row>
    <row r="9" spans="1:22" ht="15" customHeight="1" x14ac:dyDescent="0.25">
      <c r="A9" s="22">
        <v>4</v>
      </c>
      <c r="B9" s="23" t="s">
        <v>18</v>
      </c>
      <c r="C9" s="24" t="s">
        <v>19</v>
      </c>
      <c r="D9" s="25">
        <v>1</v>
      </c>
      <c r="E9" s="26">
        <v>1</v>
      </c>
      <c r="F9" s="39">
        <v>72</v>
      </c>
      <c r="G9" s="18">
        <f>IF(F9&lt;10,10,IF(F9&lt;50,50,IF(F9&lt;100,100,IF(F9&lt;250,250,IF(F9&lt;500,500,IF(F9&lt;1000,1000,IF(F9&lt;5000, 5000, 0)))))))</f>
        <v>100</v>
      </c>
      <c r="H9" s="18">
        <f>IF(G9=5, 5, IF(G9=10, 10, IF(G9=50, 25, IF(G9=100, 50, IF(G9=250, 100, IF(G9=500, 250, IF(G9=1000, 500, IF(G9=5000, 1000, 0))))))))</f>
        <v>50</v>
      </c>
      <c r="I9" s="18">
        <f>IF(G9=0,"DONE",G9-F9)</f>
        <v>28</v>
      </c>
      <c r="J9" s="20">
        <f>IF(G9=0,0,H9/I9+0.00001*(500-A9))</f>
        <v>1.7906742857142859</v>
      </c>
      <c r="K9" s="27" t="s">
        <v>13</v>
      </c>
      <c r="L9" s="70" t="s">
        <v>382</v>
      </c>
      <c r="M9" s="71"/>
      <c r="N9" s="3" t="str">
        <f t="array" ref="N9">INDEX($B$6:$B$219, MATCH(LARGE(IF($D$6:$D$219=1, IF($E$6:$E$219=1, $J$6:$J$219, ""), ""), $M$7), $J$6:$J$219, 0), 0)</f>
        <v>Bad Blood</v>
      </c>
      <c r="O9" s="4" t="str">
        <f t="array" ref="O9">INDEX($C$6:$C$219, MATCH($N9, $B$6:$B$219, 0), 0)</f>
        <v>bad</v>
      </c>
      <c r="P9" s="36"/>
    </row>
    <row r="10" spans="1:22" ht="15" customHeight="1" x14ac:dyDescent="0.25">
      <c r="A10" s="22">
        <v>5</v>
      </c>
      <c r="B10" s="23" t="s">
        <v>20</v>
      </c>
      <c r="C10" s="24" t="s">
        <v>21</v>
      </c>
      <c r="D10" s="25">
        <v>1</v>
      </c>
      <c r="E10" s="26">
        <v>1</v>
      </c>
      <c r="F10" s="39">
        <v>68</v>
      </c>
      <c r="G10" s="18">
        <f>IF(F10&lt;10,10,IF(F10&lt;50,50,IF(F10&lt;100,100,IF(F10&lt;250,250,IF(F10&lt;500,500,IF(F10&lt;1000,1000,IF(F10&lt;5000, 5000, 0)))))))</f>
        <v>100</v>
      </c>
      <c r="H10" s="18">
        <f>IF(G10=5, 5, IF(G10=10, 10, IF(G10=50, 25, IF(G10=100, 50, IF(G10=250, 100, IF(G10=500, 250, IF(G10=1000, 500, IF(G10=5000, 1000, 0))))))))</f>
        <v>50</v>
      </c>
      <c r="I10" s="18">
        <f>IF(G10=0,"DONE",G10-F10)</f>
        <v>32</v>
      </c>
      <c r="J10" s="20">
        <f>IF(G10=0,0,H10/I10+0.00001*(500-A10))</f>
        <v>1.56745</v>
      </c>
      <c r="K10" s="27" t="s">
        <v>13</v>
      </c>
      <c r="L10" s="70" t="s">
        <v>383</v>
      </c>
      <c r="M10" s="71"/>
      <c r="N10" s="3" t="str">
        <f t="array" ref="N10">INDEX($B$6:$B$219, MATCH(LARGE(IF($D$6:$D$219=2, IF($E$6:$E$219=1, $J$6:$J$219, ""), ""), $M$7), $J$6:$J$219, 0), 0)</f>
        <v>Doppelganger</v>
      </c>
      <c r="O10" s="4" t="str">
        <f t="array" ref="O10">INDEX($C$6:$C$219, MATCH($N10, $B$6:$B$219, 0), 0)</f>
        <v>dopp</v>
      </c>
      <c r="P10" s="36"/>
    </row>
    <row r="11" spans="1:22" ht="15" customHeight="1" x14ac:dyDescent="0.25">
      <c r="A11" s="22">
        <v>6</v>
      </c>
      <c r="B11" s="23" t="s">
        <v>22</v>
      </c>
      <c r="C11" s="24" t="s">
        <v>23</v>
      </c>
      <c r="D11" s="25">
        <v>1</v>
      </c>
      <c r="E11" s="26">
        <v>1</v>
      </c>
      <c r="F11" s="39">
        <v>60</v>
      </c>
      <c r="G11" s="18">
        <f>IF(F11&lt;10,10,IF(F11&lt;50,50,IF(F11&lt;100,100,IF(F11&lt;250,250,IF(F11&lt;500,500,IF(F11&lt;1000,1000,IF(F11&lt;5000, 5000, 0)))))))</f>
        <v>100</v>
      </c>
      <c r="H11" s="18">
        <f>IF(G11=5, 5, IF(G11=10, 10, IF(G11=50, 25, IF(G11=100, 50, IF(G11=250, 100, IF(G11=500, 250, IF(G11=1000, 500, IF(G11=5000, 1000, 0))))))))</f>
        <v>50</v>
      </c>
      <c r="I11" s="18">
        <f>IF(G11=0,"DONE",G11-F11)</f>
        <v>40</v>
      </c>
      <c r="J11" s="20">
        <f>IF(G11=0,0,H11/I11+0.00001*(500-A11))</f>
        <v>1.2549399999999999</v>
      </c>
      <c r="K11" s="27" t="s">
        <v>13</v>
      </c>
      <c r="L11" s="70" t="s">
        <v>384</v>
      </c>
      <c r="M11" s="71"/>
      <c r="N11" s="3" t="str">
        <f t="array" ref="N11">INDEX($B$6:$B$219, MATCH(LARGE(IF($D$6:$D$219=3, IF($E$6:$E$219=1, $J$6:$J$219, ""), ""), $M$7), $J$6:$J$219, 0), 0)</f>
        <v>Drulcharus</v>
      </c>
      <c r="O11" s="4" t="str">
        <f t="array" ref="O11">INDEX($C$6:$C$219, MATCH($N11, $B$6:$B$219, 0), 0)</f>
        <v>drul</v>
      </c>
      <c r="P11" s="36"/>
    </row>
    <row r="12" spans="1:22" ht="15" customHeight="1" x14ac:dyDescent="0.25">
      <c r="A12" s="22">
        <v>7</v>
      </c>
      <c r="B12" s="23" t="s">
        <v>24</v>
      </c>
      <c r="C12" s="24" t="s">
        <v>25</v>
      </c>
      <c r="D12" s="25">
        <v>1</v>
      </c>
      <c r="E12" s="26">
        <v>1</v>
      </c>
      <c r="F12" s="39">
        <v>68</v>
      </c>
      <c r="G12" s="18">
        <f>IF(F12&lt;10,10,IF(F12&lt;50,50,IF(F12&lt;100,100,IF(F12&lt;250,250,IF(F12&lt;500,500,IF(F12&lt;1000,1000,IF(F12&lt;5000, 5000, 0)))))))</f>
        <v>100</v>
      </c>
      <c r="H12" s="18">
        <f>IF(G12=5, 5, IF(G12=10, 10, IF(G12=50, 25, IF(G12=100, 50, IF(G12=250, 100, IF(G12=500, 250, IF(G12=1000, 500, IF(G12=5000, 1000, 0))))))))</f>
        <v>50</v>
      </c>
      <c r="I12" s="18">
        <f>IF(G12=0,"DONE",G12-F12)</f>
        <v>32</v>
      </c>
      <c r="J12" s="20">
        <f>IF(G12=0,0,H12/I12+0.00001*(500-A12))</f>
        <v>1.5674300000000001</v>
      </c>
      <c r="K12" s="27" t="s">
        <v>13</v>
      </c>
      <c r="L12" s="70" t="s">
        <v>385</v>
      </c>
      <c r="M12" s="71"/>
      <c r="N12" s="3" t="str">
        <f t="array" ref="N12">INDEX($B$6:$B$219, MATCH(LARGE(IF($D$6:$D$219=4, IF($E$6:$E$219=1, $J$6:$J$219, ""), ""), $M$7), $J$6:$J$219, 0), 0)</f>
        <v>Nimrod</v>
      </c>
      <c r="O12" s="4" t="str">
        <f t="array" ref="O12">INDEX($C$6:$C$219, MATCH($N12, $B$6:$B$219, 0), 0)</f>
        <v>nim</v>
      </c>
      <c r="P12" s="36"/>
    </row>
    <row r="13" spans="1:22" ht="15" customHeight="1" x14ac:dyDescent="0.25">
      <c r="A13" s="22">
        <v>8</v>
      </c>
      <c r="B13" s="23" t="s">
        <v>26</v>
      </c>
      <c r="C13" s="24" t="s">
        <v>27</v>
      </c>
      <c r="D13" s="25">
        <v>1</v>
      </c>
      <c r="E13" s="26">
        <v>1</v>
      </c>
      <c r="F13" s="39">
        <v>64</v>
      </c>
      <c r="G13" s="18">
        <f>IF(F13&lt;10,10,IF(F13&lt;50,50,IF(F13&lt;100,100,IF(F13&lt;250,250,IF(F13&lt;500,500,IF(F13&lt;1000,1000,IF(F13&lt;5000, 5000, 0)))))))</f>
        <v>100</v>
      </c>
      <c r="H13" s="18">
        <f>IF(G13=5, 5, IF(G13=10, 10, IF(G13=50, 25, IF(G13=100, 50, IF(G13=250, 100, IF(G13=500, 250, IF(G13=1000, 500, IF(G13=5000, 1000, 0))))))))</f>
        <v>50</v>
      </c>
      <c r="I13" s="18">
        <f>IF(G13=0,"DONE",G13-F13)</f>
        <v>36</v>
      </c>
      <c r="J13" s="20">
        <f>IF(G13=0,0,H13/I13+0.00001*(500-A13))</f>
        <v>1.3938088888888889</v>
      </c>
      <c r="K13" s="27" t="s">
        <v>13</v>
      </c>
      <c r="L13" s="70" t="s">
        <v>386</v>
      </c>
      <c r="M13" s="71"/>
      <c r="N13" s="3" t="str">
        <f t="array" ref="N13">INDEX($B$6:$B$219, MATCH(LARGE(IF($D$6:$D$219=5, IF($E$6:$E$219=1, $J$6:$J$219, ""), ""), $M$7), $J$6:$J$219, 0), 0)</f>
        <v>Deadly Kalaxia</v>
      </c>
      <c r="O13" s="4" t="str">
        <f t="array" ref="O13">INDEX($C$6:$C$219, MATCH($N13, $B$6:$B$219, 0), 0)</f>
        <v>kala</v>
      </c>
      <c r="P13" s="36"/>
    </row>
    <row r="14" spans="1:22" ht="15" customHeight="1" thickBot="1" x14ac:dyDescent="0.3">
      <c r="A14" s="22">
        <v>9</v>
      </c>
      <c r="B14" s="23" t="s">
        <v>28</v>
      </c>
      <c r="C14" s="24" t="s">
        <v>29</v>
      </c>
      <c r="D14" s="25">
        <v>1</v>
      </c>
      <c r="E14" s="26">
        <v>1</v>
      </c>
      <c r="F14" s="39">
        <v>161</v>
      </c>
      <c r="G14" s="18">
        <f>IF(F14&lt;10,10,IF(F14&lt;50,50,IF(F14&lt;100,100,IF(F14&lt;250,250,IF(F14&lt;500,500,IF(F14&lt;1000,1000,0))))))</f>
        <v>250</v>
      </c>
      <c r="H14" s="18">
        <f>IF(G14=10, 50, IF(G14=50, 100, IF(G14=100, 250, IF(G14=250, 500, IF(G14=500, 1000, IF(G14=1000, 2000, 0))))))</f>
        <v>500</v>
      </c>
      <c r="I14" s="18">
        <f>IF(G14=0,"DONE",G14-F14)</f>
        <v>89</v>
      </c>
      <c r="J14" s="20">
        <f>IF(G14=0,0,H14/I14+0.00001*(500-A14))</f>
        <v>5.6228875280898878</v>
      </c>
      <c r="K14" s="27" t="s">
        <v>13</v>
      </c>
      <c r="L14" s="68" t="s">
        <v>387</v>
      </c>
      <c r="M14" s="69"/>
      <c r="N14" s="5" t="str">
        <f t="array" ref="N14">INDEX($B$6:$B$219, MATCH(LARGE(IF($D$6:$D$219=6, IF($E$6:$E$219=1, $J$6:$J$219, ""), ""), $M$7), $J$6:$J$219, 0), 0)</f>
        <v>Jormungan</v>
      </c>
      <c r="O14" s="6" t="str">
        <f t="array" ref="O14">INDEX($C$6:$C$219, MATCH($N14, $B$6:$B$219, 0), 0)</f>
        <v>jor</v>
      </c>
      <c r="P14" s="36"/>
    </row>
    <row r="15" spans="1:22" ht="15" customHeight="1" thickTop="1" x14ac:dyDescent="0.25">
      <c r="A15" s="22">
        <v>10</v>
      </c>
      <c r="B15" s="23" t="s">
        <v>30</v>
      </c>
      <c r="C15" s="24" t="s">
        <v>31</v>
      </c>
      <c r="D15" s="25">
        <v>1</v>
      </c>
      <c r="E15" s="26">
        <v>1</v>
      </c>
      <c r="F15" s="39">
        <v>184</v>
      </c>
      <c r="G15" s="18">
        <f>IF(F15&lt;10,10,IF(F15&lt;50,50,IF(F15&lt;100,100,IF(F15&lt;250,250,IF(F15&lt;500,500,IF(F15&lt;1000,1000,IF(F15&lt;5000, 5000, 0)))))))</f>
        <v>250</v>
      </c>
      <c r="H15" s="18">
        <f>IF(G15=5, 5, IF(G15=10, 10, IF(G15=50, 25, IF(G15=100, 50, IF(G15=250, 100, IF(G15=500, 250, IF(G15=1000, 500, IF(G15=5000, 1000, 0))))))))</f>
        <v>100</v>
      </c>
      <c r="I15" s="18">
        <f>IF(G15=0,"DONE",G15-F15)</f>
        <v>66</v>
      </c>
      <c r="J15" s="20">
        <f>IF(G15=0,0,H15/I15+0.00001*(500-A15))</f>
        <v>1.520051515151515</v>
      </c>
      <c r="K15" s="27" t="s">
        <v>13</v>
      </c>
      <c r="L15" s="80" t="s">
        <v>388</v>
      </c>
      <c r="M15" s="81"/>
      <c r="N15" s="81"/>
      <c r="O15" s="82"/>
      <c r="P15" s="1"/>
    </row>
    <row r="16" spans="1:22" ht="15" customHeight="1" thickBot="1" x14ac:dyDescent="0.3">
      <c r="A16" s="22">
        <v>11</v>
      </c>
      <c r="B16" s="23" t="s">
        <v>32</v>
      </c>
      <c r="C16" s="24" t="s">
        <v>33</v>
      </c>
      <c r="D16" s="25">
        <v>1</v>
      </c>
      <c r="E16" s="26">
        <v>1</v>
      </c>
      <c r="F16" s="39">
        <v>113</v>
      </c>
      <c r="G16" s="18">
        <f>IF(F16&lt;10,10,IF(F16&lt;50,50,IF(F16&lt;100,100,IF(F16&lt;250,250,IF(F16&lt;500,500,IF(F16&lt;1000,1000,IF(F16&lt;5000, 5000, 0)))))))</f>
        <v>250</v>
      </c>
      <c r="H16" s="18">
        <f>IF(G16=5, 5, IF(G16=10, 10, IF(G16=50, 25, IF(G16=100, 50, IF(G16=250, 100, IF(G16=500, 250, IF(G16=1000, 500, IF(G16=5000, 1000, 0))))))))</f>
        <v>100</v>
      </c>
      <c r="I16" s="18">
        <f>IF(G16=0,"DONE",G16-F16)</f>
        <v>137</v>
      </c>
      <c r="J16" s="20">
        <f>IF(G16=0,0,H16/I16+0.00001*(500-A16))</f>
        <v>0.73481700729927002</v>
      </c>
      <c r="K16" s="27" t="s">
        <v>13</v>
      </c>
      <c r="L16" s="65" t="str">
        <f>_xlfn.CONCAT(IF($K$6="Guild", IF($K$7="Guild", IF($K$8="Guild", IF($K$9="Guild", IF($K$10="Guild", IF($K$11="Guild", IF($K$12="Guild", "", $C$12), $C$11), $C$10), $C$9), $C$8), $C$7), $C$6), IF($K$7="Guild", "", _xlfn.CONCAT("|", $C$7)), IF($K$8="Guild", "", _xlfn.CONCAT("|", $C$8)), IF($K$9="Guild", "", _xlfn.CONCAT("|", $C$9)), IF($K$10="Guild", "", _xlfn.CONCAT("|", $C$10)), IF($K$11="Guild", "", _xlfn.CONCAT("|", $C$11)), IF($K$12="Guild", "", _xlfn.CONCAT("|", $C$12)))</f>
        <v>horg|atax|bri|mane|iron|gun|mara</v>
      </c>
      <c r="M16" s="66"/>
      <c r="N16" s="66"/>
      <c r="O16" s="67"/>
      <c r="P16" s="1"/>
      <c r="Q16" s="1"/>
      <c r="R16" s="1"/>
    </row>
    <row r="17" spans="1:18" ht="15" customHeight="1" thickTop="1" x14ac:dyDescent="0.25">
      <c r="A17" s="22">
        <v>12</v>
      </c>
      <c r="B17" s="23" t="s">
        <v>34</v>
      </c>
      <c r="C17" s="24" t="s">
        <v>35</v>
      </c>
      <c r="D17" s="25">
        <v>1</v>
      </c>
      <c r="E17" s="26">
        <v>0</v>
      </c>
      <c r="F17" s="39">
        <v>33</v>
      </c>
      <c r="G17" s="18">
        <f>IF(F17&lt;10,10,IF(F17&lt;50,50,IF(F17&lt;100,100,IF(F17&lt;250,250,IF(F17&lt;500,500,IF(F17&lt;1000,1000,0))))))</f>
        <v>50</v>
      </c>
      <c r="H17" s="18">
        <f>IF(G17=10, 50, IF(G17=50, 100, IF(G17=100, 250, IF(G17=250, 500, IF(G17=500, 1000, IF(G17=1000, 2000, 0))))))</f>
        <v>100</v>
      </c>
      <c r="I17" s="18">
        <f>IF(G17=0,"DONE",G17-F17)</f>
        <v>17</v>
      </c>
      <c r="J17" s="20">
        <f>IF(G17=0,0,H17/I17+0.00001*(500-A17))</f>
        <v>5.887232941176471</v>
      </c>
      <c r="K17" s="27" t="s">
        <v>13</v>
      </c>
      <c r="L17" s="1"/>
      <c r="M17" s="1"/>
      <c r="N17" s="1"/>
      <c r="O17" s="1"/>
      <c r="P17" s="1"/>
      <c r="Q17" s="1"/>
      <c r="R17" s="1"/>
    </row>
    <row r="18" spans="1:18" ht="15" customHeight="1" x14ac:dyDescent="0.25">
      <c r="A18" s="22">
        <v>13</v>
      </c>
      <c r="B18" s="23" t="s">
        <v>36</v>
      </c>
      <c r="C18" s="24" t="s">
        <v>37</v>
      </c>
      <c r="D18" s="25">
        <v>1</v>
      </c>
      <c r="E18" s="26">
        <v>1</v>
      </c>
      <c r="F18" s="39">
        <v>68</v>
      </c>
      <c r="G18" s="18">
        <f>IF(F18&lt;10,10,IF(F18&lt;50,50,IF(F18&lt;100,100,IF(F18&lt;250,250,IF(F18&lt;500,500,IF(F18&lt;1000,1000,IF(F18&lt;5000, 5000, 0)))))))</f>
        <v>100</v>
      </c>
      <c r="H18" s="18">
        <f>IF(G18=5, 5, IF(G18=10, 10, IF(G18=50, 25, IF(G18=100, 50, IF(G18=250, 100, IF(G18=500, 250, IF(G18=1000, 500, IF(G18=5000, 1000, 0))))))))</f>
        <v>50</v>
      </c>
      <c r="I18" s="18">
        <f>IF(G18=0,"DONE",G18-F18)</f>
        <v>32</v>
      </c>
      <c r="J18" s="20">
        <f>IF(G18=0,0,H18/I18+0.00001*(500-A18))</f>
        <v>1.5673699999999999</v>
      </c>
      <c r="K18" s="27" t="s">
        <v>13</v>
      </c>
      <c r="L18" s="63" t="str">
        <f>_xlfn.CONCAT("Need for AP: ", IF(OR($K$6="Guild", $K$6="Deadly"), IF(OR($K$7="Guild", $K$7="Deadly"), IF(OR($K$8="Guild", $K$8="Deadly"), IF(OR($K$9="Guild", $K$9="Deadly"), IF(OR($K$10="Guild", $K$10="Deadly"), IF(OR($K$11="Guild", $K$11="Deadly"), IF(OR($K$12="Guild", $K$12="Deadly"), "", $B$12), $B$11), $B$10), $B$9), $B$8), $B$7), $B$6), IF(OR($K$7="Guild", $K$7="Deadly"), "", _xlfn.CONCAT(", ", $B$7)), IF(OR($K$8="Guild", $K$8="Deadly"), "", _xlfn.CONCAT(", ", $B$8)), IF(OR($K$9="Guild", $K$9="Deadly"), "", _xlfn.CONCAT(", ", $B$9)), IF(OR($K$10="Guild", $K$10="Deadly"), "", _xlfn.CONCAT(", ", $B$10)), IF(OR($K$11="Guild", $K$11="Deadly"), "", _xlfn.CONCAT(", ", $B$11)), IF(OR($K$12="Guild", $K$12="Deadly"), "", _xlfn.CONCAT(", ", $B$12)))</f>
        <v>Need for AP: Horgrak, Ataxes, Briareus, Bloodmane, Ironclad, Gunnar, Maraak</v>
      </c>
      <c r="M18" s="64"/>
      <c r="N18" s="64"/>
      <c r="O18" s="64"/>
      <c r="P18" s="37"/>
      <c r="Q18" s="1"/>
      <c r="R18" s="1"/>
    </row>
    <row r="19" spans="1:18" ht="15" customHeight="1" x14ac:dyDescent="0.25">
      <c r="A19" s="22">
        <v>14</v>
      </c>
      <c r="B19" s="23" t="s">
        <v>38</v>
      </c>
      <c r="C19" s="24" t="s">
        <v>39</v>
      </c>
      <c r="D19" s="25">
        <v>1</v>
      </c>
      <c r="E19" s="26">
        <v>1</v>
      </c>
      <c r="F19" s="39">
        <v>71</v>
      </c>
      <c r="G19" s="18">
        <f>IF(F19&lt;10,10,IF(F19&lt;50,50,IF(F19&lt;100,100,IF(F19&lt;250,250,IF(F19&lt;500,500,IF(F19&lt;1000,1000,IF(F19&lt;5000, 5000, 0)))))))</f>
        <v>100</v>
      </c>
      <c r="H19" s="18">
        <f>IF(G19=5, 5, IF(G19=10, 10, IF(G19=50, 25, IF(G19=100, 50, IF(G19=250, 100, IF(G19=500, 250, IF(G19=1000, 500, IF(G19=5000, 1000, 0))))))))</f>
        <v>50</v>
      </c>
      <c r="I19" s="18">
        <f>IF(G19=0,"DONE",G19-F19)</f>
        <v>29</v>
      </c>
      <c r="J19" s="20">
        <f>IF(G19=0,0,H19/I19+0.00001*(500-A19))</f>
        <v>1.7289979310344827</v>
      </c>
      <c r="K19" s="27" t="s">
        <v>13</v>
      </c>
      <c r="L19" s="63"/>
      <c r="M19" s="64"/>
      <c r="N19" s="64"/>
      <c r="O19" s="64"/>
      <c r="P19" s="1"/>
      <c r="Q19" s="1"/>
      <c r="R19" s="1"/>
    </row>
    <row r="20" spans="1:18" ht="15" customHeight="1" x14ac:dyDescent="0.25">
      <c r="A20" s="22">
        <v>15</v>
      </c>
      <c r="B20" s="23" t="s">
        <v>40</v>
      </c>
      <c r="C20" s="24" t="s">
        <v>41</v>
      </c>
      <c r="D20" s="25">
        <v>1</v>
      </c>
      <c r="E20" s="26">
        <v>0</v>
      </c>
      <c r="F20" s="39">
        <v>39</v>
      </c>
      <c r="G20" s="18">
        <f>IF(F20&lt;10,10,IF(F20&lt;50,50,IF(F20&lt;100,100,IF(F20&lt;250,250,IF(F20&lt;500,500,IF(F20&lt;1000,1000,IF(F20&lt;5000, 5000, 0)))))))</f>
        <v>50</v>
      </c>
      <c r="H20" s="18">
        <f>IF(G20=5, 5, IF(G20=10, 10, IF(G20=50, 25, IF(G20=100, 50, IF(G20=250, 100, IF(G20=500, 250, IF(G20=1000, 500, IF(G20=5000, 1000, 0))))))))</f>
        <v>25</v>
      </c>
      <c r="I20" s="18">
        <f>IF(G20=0,"DONE",G20-F20)</f>
        <v>11</v>
      </c>
      <c r="J20" s="20">
        <f>IF(G20=0,0,H20/I20+0.00001*(500-A20))</f>
        <v>2.2775772727272727</v>
      </c>
      <c r="K20" s="27" t="s">
        <v>13</v>
      </c>
      <c r="L20" s="1"/>
      <c r="M20" s="1"/>
      <c r="N20" s="1"/>
      <c r="O20" s="1"/>
      <c r="P20" s="1"/>
      <c r="Q20" s="1"/>
      <c r="R20" s="1"/>
    </row>
    <row r="21" spans="1:18" ht="15" customHeight="1" x14ac:dyDescent="0.25">
      <c r="A21" s="22">
        <v>16</v>
      </c>
      <c r="B21" s="23" t="s">
        <v>42</v>
      </c>
      <c r="C21" s="24" t="s">
        <v>43</v>
      </c>
      <c r="D21" s="25">
        <v>1</v>
      </c>
      <c r="E21" s="26">
        <v>1</v>
      </c>
      <c r="F21" s="39">
        <v>35</v>
      </c>
      <c r="G21" s="18">
        <f>IF(F21&lt;10,10,IF(F21&lt;50,50,IF(F21&lt;100,100,IF(F21&lt;250,250,IF(F21&lt;500,500,IF(F21&lt;1000,1000,IF(F21&lt;5000, 5000, 0)))))))</f>
        <v>50</v>
      </c>
      <c r="H21" s="18">
        <f>IF(G21=5, 5, IF(G21=10, 10, IF(G21=50, 25, IF(G21=100, 50, IF(G21=250, 100, IF(G21=500, 250, IF(G21=1000, 500, IF(G21=5000, 1000, 0))))))))</f>
        <v>25</v>
      </c>
      <c r="I21" s="18">
        <f>IF(G21=0,"DONE",G21-F21)</f>
        <v>15</v>
      </c>
      <c r="J21" s="20">
        <f>IF(G21=0,0,H21/I21+0.00001*(500-A21))</f>
        <v>1.6715066666666667</v>
      </c>
      <c r="K21" s="27" t="s">
        <v>13</v>
      </c>
      <c r="L21" s="1"/>
      <c r="M21" s="1"/>
      <c r="N21" s="1"/>
      <c r="O21" s="1"/>
      <c r="P21" s="1"/>
      <c r="Q21" s="1"/>
      <c r="R21" s="1"/>
    </row>
    <row r="22" spans="1:18" ht="15" customHeight="1" x14ac:dyDescent="0.25">
      <c r="A22" s="22">
        <v>17</v>
      </c>
      <c r="B22" s="23" t="s">
        <v>44</v>
      </c>
      <c r="C22" s="24" t="s">
        <v>45</v>
      </c>
      <c r="D22" s="25">
        <v>1</v>
      </c>
      <c r="E22" s="26">
        <v>0</v>
      </c>
      <c r="F22" s="39">
        <v>24</v>
      </c>
      <c r="G22" s="18">
        <f>IF(F22&lt;10,10,IF(F22&lt;50,50,IF(F22&lt;100,100,IF(F22&lt;250,250,IF(F22&lt;500,500,IF(F22&lt;1000,1000,IF(F22&lt;5000, 5000, 0)))))))</f>
        <v>50</v>
      </c>
      <c r="H22" s="18">
        <f>IF(G22=5, 5, IF(G22=10, 10, IF(G22=50, 25, IF(G22=100, 50, IF(G22=250, 100, IF(G22=500, 250, IF(G22=1000, 500, IF(G22=5000, 1000, 0))))))))</f>
        <v>25</v>
      </c>
      <c r="I22" s="18">
        <f>IF(G22=0,"DONE",G22-F22)</f>
        <v>26</v>
      </c>
      <c r="J22" s="20">
        <f>IF(G22=0,0,H22/I22+0.00001*(500-A22))</f>
        <v>0.96636846153846157</v>
      </c>
      <c r="K22" s="27" t="s">
        <v>13</v>
      </c>
      <c r="L22" s="1"/>
      <c r="M22" s="1"/>
      <c r="N22" s="1"/>
      <c r="O22" s="1"/>
      <c r="P22" s="1"/>
      <c r="Q22" s="1"/>
      <c r="R22" s="1"/>
    </row>
    <row r="23" spans="1:18" ht="15" customHeight="1" x14ac:dyDescent="0.25">
      <c r="A23" s="22">
        <v>18</v>
      </c>
      <c r="B23" s="23" t="s">
        <v>46</v>
      </c>
      <c r="C23" s="24" t="s">
        <v>47</v>
      </c>
      <c r="D23" s="25">
        <v>1</v>
      </c>
      <c r="E23" s="26">
        <v>1</v>
      </c>
      <c r="F23" s="39">
        <v>78</v>
      </c>
      <c r="G23" s="18">
        <f>IF(F23&lt;10,10,IF(F23&lt;50,50,IF(F23&lt;100,100,IF(F23&lt;250,250,IF(F23&lt;500,500,IF(F23&lt;1000,1000,IF(F23&lt;5000, 5000, 0)))))))</f>
        <v>100</v>
      </c>
      <c r="H23" s="18">
        <f>IF(G23=5, 5, IF(G23=10, 10, IF(G23=50, 25, IF(G23=100, 50, IF(G23=250, 100, IF(G23=500, 250, IF(G23=1000, 500, IF(G23=5000, 1000, 0))))))))</f>
        <v>50</v>
      </c>
      <c r="I23" s="18">
        <f>IF(G23=0,"DONE",G23-F23)</f>
        <v>22</v>
      </c>
      <c r="J23" s="20">
        <f>IF(G23=0,0,H23/I23+0.00001*(500-A23))</f>
        <v>2.277547272727273</v>
      </c>
      <c r="K23" s="27" t="s">
        <v>13</v>
      </c>
      <c r="L23" s="1"/>
      <c r="M23" s="1"/>
      <c r="N23" s="1"/>
      <c r="O23" s="1"/>
      <c r="P23" s="1"/>
      <c r="Q23" s="1"/>
      <c r="R23" s="1"/>
    </row>
    <row r="24" spans="1:18" ht="15" customHeight="1" x14ac:dyDescent="0.25">
      <c r="A24" s="22">
        <v>19</v>
      </c>
      <c r="B24" s="23" t="s">
        <v>48</v>
      </c>
      <c r="C24" s="24" t="s">
        <v>49</v>
      </c>
      <c r="D24" s="25">
        <v>1</v>
      </c>
      <c r="E24" s="26">
        <v>1</v>
      </c>
      <c r="F24" s="39">
        <v>82</v>
      </c>
      <c r="G24" s="18">
        <f>IF(F24&lt;10,10,IF(F24&lt;50,50,IF(F24&lt;100,100,IF(F24&lt;250,250,IF(F24&lt;500,500,IF(F24&lt;1000,1000,IF(F24&lt;5000, 5000, 0)))))))</f>
        <v>100</v>
      </c>
      <c r="H24" s="18">
        <f>IF(G24=5, 5, IF(G24=10, 10, IF(G24=50, 25, IF(G24=100, 50, IF(G24=250, 100, IF(G24=500, 250, IF(G24=1000, 500, IF(G24=5000, 1000, 0))))))))</f>
        <v>50</v>
      </c>
      <c r="I24" s="18">
        <f>IF(G24=0,"DONE",G24-F24)</f>
        <v>18</v>
      </c>
      <c r="J24" s="20">
        <f>IF(G24=0,0,H24/I24+0.00001*(500-A24))</f>
        <v>2.7825877777777777</v>
      </c>
      <c r="K24" s="27" t="s">
        <v>13</v>
      </c>
      <c r="L24" s="1"/>
      <c r="M24" s="1"/>
      <c r="N24" s="1"/>
      <c r="O24" s="1"/>
      <c r="P24" s="1"/>
      <c r="Q24" s="1"/>
      <c r="R24" s="1"/>
    </row>
    <row r="25" spans="1:18" ht="15" customHeight="1" x14ac:dyDescent="0.25">
      <c r="A25" s="22">
        <v>20</v>
      </c>
      <c r="B25" s="23" t="s">
        <v>50</v>
      </c>
      <c r="C25" s="24" t="s">
        <v>51</v>
      </c>
      <c r="D25" s="25">
        <v>1</v>
      </c>
      <c r="E25" s="26">
        <v>0</v>
      </c>
      <c r="F25" s="39">
        <v>17</v>
      </c>
      <c r="G25" s="18">
        <f>IF(F25&lt;10,10,IF(F25&lt;50,50,IF(F25&lt;100,100,IF(F25&lt;250,250,IF(F25&lt;500,500,IF(F25&lt;1000,1000,IF(F25&lt;5000, 5000, 0)))))))</f>
        <v>50</v>
      </c>
      <c r="H25" s="18">
        <f>IF(G25=5, 5, IF(G25=10, 10, IF(G25=50, 25, IF(G25=100, 50, IF(G25=250, 100, IF(G25=500, 250, IF(G25=1000, 500, IF(G25=5000, 1000, 0))))))))</f>
        <v>25</v>
      </c>
      <c r="I25" s="18">
        <f>IF(G25=0,"DONE",G25-F25)</f>
        <v>33</v>
      </c>
      <c r="J25" s="20">
        <f>IF(G25=0,0,H25/I25+0.00001*(500-A25))</f>
        <v>0.7623757575757576</v>
      </c>
      <c r="K25" s="27" t="s">
        <v>13</v>
      </c>
      <c r="L25" s="1"/>
      <c r="M25" s="1"/>
      <c r="N25" s="1"/>
      <c r="O25" s="1"/>
      <c r="P25" s="1"/>
      <c r="Q25" s="1"/>
      <c r="R25" s="1"/>
    </row>
    <row r="26" spans="1:18" ht="15" customHeight="1" x14ac:dyDescent="0.25">
      <c r="A26" s="22">
        <v>21</v>
      </c>
      <c r="B26" s="23" t="s">
        <v>52</v>
      </c>
      <c r="C26" s="24" t="s">
        <v>53</v>
      </c>
      <c r="D26" s="25">
        <v>1</v>
      </c>
      <c r="E26" s="26">
        <v>1</v>
      </c>
      <c r="F26" s="39">
        <v>25</v>
      </c>
      <c r="G26" s="18">
        <f>IF(F26&lt;10,10,IF(F26&lt;50,50,IF(F26&lt;100,100,IF(F26&lt;250,250,IF(F26&lt;500,500,IF(F26&lt;1000,1000,IF(F26&lt;5000, 5000, 0)))))))</f>
        <v>50</v>
      </c>
      <c r="H26" s="18">
        <f>IF(G26=5, 5, IF(G26=10, 10, IF(G26=50, 25, IF(G26=100, 50, IF(G26=250, 100, IF(G26=500, 250, IF(G26=1000, 500, IF(G26=5000, 1000, 0))))))))</f>
        <v>25</v>
      </c>
      <c r="I26" s="18">
        <f>IF(G26=0,"DONE",G26-F26)</f>
        <v>25</v>
      </c>
      <c r="J26" s="20">
        <f>IF(G26=0,0,H26/I26+0.00001*(500-A26))</f>
        <v>1.0047900000000001</v>
      </c>
      <c r="K26" s="27" t="s">
        <v>13</v>
      </c>
      <c r="L26" s="1"/>
      <c r="M26" s="1"/>
      <c r="N26" s="1"/>
      <c r="O26" s="1"/>
      <c r="P26" s="1"/>
      <c r="Q26" s="1"/>
      <c r="R26" s="1"/>
    </row>
    <row r="27" spans="1:18" ht="15" customHeight="1" x14ac:dyDescent="0.25">
      <c r="A27" s="22">
        <v>22</v>
      </c>
      <c r="B27" s="23" t="s">
        <v>54</v>
      </c>
      <c r="C27" s="24" t="s">
        <v>55</v>
      </c>
      <c r="D27" s="25">
        <v>1</v>
      </c>
      <c r="E27" s="26">
        <v>1</v>
      </c>
      <c r="F27" s="39">
        <v>65</v>
      </c>
      <c r="G27" s="18">
        <f>IF(F27&lt;10,10,IF(F27&lt;50,50,IF(F27&lt;100,100,IF(F27&lt;250,250,IF(F27&lt;500,500,IF(F27&lt;1000,1000,IF(F27&lt;5000, 5000, 0)))))))</f>
        <v>100</v>
      </c>
      <c r="H27" s="18">
        <f>IF(G27=5, 5, IF(G27=10, 10, IF(G27=50, 25, IF(G27=100, 50, IF(G27=250, 100, IF(G27=500, 250, IF(G27=1000, 500, IF(G27=5000, 1000, 0))))))))</f>
        <v>50</v>
      </c>
      <c r="I27" s="18">
        <f>IF(G27=0,"DONE",G27-F27)</f>
        <v>35</v>
      </c>
      <c r="J27" s="20">
        <f>IF(G27=0,0,H27/I27+0.00001*(500-A27))</f>
        <v>1.4333514285714286</v>
      </c>
      <c r="K27" s="27" t="s">
        <v>13</v>
      </c>
      <c r="L27" s="1"/>
      <c r="M27" s="1"/>
      <c r="N27" s="1"/>
      <c r="O27" s="1"/>
      <c r="P27" s="1"/>
      <c r="Q27" s="1"/>
      <c r="R27" s="1"/>
    </row>
    <row r="28" spans="1:18" ht="15" customHeight="1" x14ac:dyDescent="0.25">
      <c r="A28" s="22">
        <v>23</v>
      </c>
      <c r="B28" s="23" t="s">
        <v>56</v>
      </c>
      <c r="C28" s="24" t="s">
        <v>57</v>
      </c>
      <c r="D28" s="25">
        <v>1</v>
      </c>
      <c r="E28" s="26">
        <v>0</v>
      </c>
      <c r="F28" s="39">
        <v>3</v>
      </c>
      <c r="G28" s="18">
        <f>IF(F28&lt;10,10,IF(F28&lt;50,50,IF(F28&lt;100,100,IF(F28&lt;250,250,IF(F28&lt;500,500,IF(F28&lt;1000,1000,IF(F28&lt;5000, 5000, 0)))))))</f>
        <v>10</v>
      </c>
      <c r="H28" s="18">
        <f>IF(G28=5, 5, IF(G28=10, 10, IF(G28=50, 25, IF(G28=100, 50, IF(G28=250, 100, IF(G28=500, 250, IF(G28=1000, 500, IF(G28=5000, 1000, 0))))))))</f>
        <v>10</v>
      </c>
      <c r="I28" s="18">
        <f>IF(G28=0,"DONE",G28-F28)</f>
        <v>7</v>
      </c>
      <c r="J28" s="20">
        <f>IF(G28=0,0,H28/I28+0.00001*(500-A28))</f>
        <v>1.4333414285714285</v>
      </c>
      <c r="K28" s="27" t="s">
        <v>58</v>
      </c>
      <c r="L28" s="1"/>
      <c r="M28" s="1"/>
      <c r="N28" s="1"/>
      <c r="O28" s="1"/>
      <c r="P28" s="1"/>
      <c r="Q28" s="1"/>
      <c r="R28" s="1"/>
    </row>
    <row r="29" spans="1:18" ht="15" customHeight="1" x14ac:dyDescent="0.25">
      <c r="A29" s="22">
        <v>24</v>
      </c>
      <c r="B29" s="23" t="s">
        <v>59</v>
      </c>
      <c r="C29" s="24" t="s">
        <v>60</v>
      </c>
      <c r="D29" s="25">
        <v>1</v>
      </c>
      <c r="E29" s="26">
        <v>1</v>
      </c>
      <c r="F29" s="39">
        <v>33</v>
      </c>
      <c r="G29" s="18">
        <f>IF(F29&lt;10,10,IF(F29&lt;50,50,IF(F29&lt;100,100,IF(F29&lt;250,250,IF(F29&lt;500,500,IF(F29&lt;1000,1000,IF(F29&lt;5000, 5000, 0)))))))</f>
        <v>50</v>
      </c>
      <c r="H29" s="18">
        <f>IF(G29=5, 5, IF(G29=10, 10, IF(G29=50, 25, IF(G29=100, 50, IF(G29=250, 100, IF(G29=500, 250, IF(G29=1000, 500, IF(G29=5000, 1000, 0))))))))</f>
        <v>25</v>
      </c>
      <c r="I29" s="18">
        <f>IF(G29=0,"DONE",G29-F29)</f>
        <v>17</v>
      </c>
      <c r="J29" s="20">
        <f>IF(G29=0,0,H29/I29+0.00001*(500-A29))</f>
        <v>1.4753482352941178</v>
      </c>
      <c r="K29" s="27" t="s">
        <v>13</v>
      </c>
      <c r="L29" s="1"/>
      <c r="M29" s="1"/>
      <c r="N29" s="1"/>
      <c r="O29" s="1"/>
      <c r="P29" s="1"/>
      <c r="Q29" s="1"/>
      <c r="R29" s="1"/>
    </row>
    <row r="30" spans="1:18" ht="15" customHeight="1" x14ac:dyDescent="0.25">
      <c r="A30" s="22">
        <v>25</v>
      </c>
      <c r="B30" s="23" t="s">
        <v>61</v>
      </c>
      <c r="C30" s="24" t="s">
        <v>62</v>
      </c>
      <c r="D30" s="25">
        <v>2</v>
      </c>
      <c r="E30" s="26">
        <v>1</v>
      </c>
      <c r="F30" s="39">
        <v>79</v>
      </c>
      <c r="G30" s="18">
        <f>IF(F30&lt;10,10,IF(F30&lt;50,50,IF(F30&lt;100,100,IF(F30&lt;250,250,IF(F30&lt;500,500,IF(F30&lt;1000,1000,IF(F30&lt;5000, 5000, 0)))))))</f>
        <v>100</v>
      </c>
      <c r="H30" s="18">
        <f>IF(G30=5, 5, IF(G30=10, 25, IF(G30=50, 50, IF(G30=100, 100, IF(G30=250, 250, IF(G30=500, 500, IF(G30=1000, 1000, IF(G30=5000, 2000, 0))))))))</f>
        <v>100</v>
      </c>
      <c r="I30" s="18">
        <f>IF(G30=0,"DONE",G30-F30)</f>
        <v>21</v>
      </c>
      <c r="J30" s="20">
        <f>IF(G30=0,0,H30/I30+0.00001*(500-A30))</f>
        <v>4.7666547619047615</v>
      </c>
      <c r="K30" s="27" t="s">
        <v>13</v>
      </c>
      <c r="L30" s="1"/>
      <c r="M30" s="1"/>
      <c r="N30" s="1"/>
      <c r="O30" s="1"/>
      <c r="P30" s="1"/>
      <c r="Q30" s="1"/>
      <c r="R30" s="1"/>
    </row>
    <row r="31" spans="1:18" ht="15" customHeight="1" x14ac:dyDescent="0.25">
      <c r="A31" s="22">
        <v>26</v>
      </c>
      <c r="B31" s="23" t="s">
        <v>63</v>
      </c>
      <c r="C31" s="24" t="s">
        <v>64</v>
      </c>
      <c r="D31" s="25">
        <v>2</v>
      </c>
      <c r="E31" s="26">
        <v>1</v>
      </c>
      <c r="F31" s="39">
        <v>82</v>
      </c>
      <c r="G31" s="18">
        <f>IF(F31&lt;10,10,IF(F31&lt;50,50,IF(F31&lt;100,100,IF(F31&lt;250,250,IF(F31&lt;500,500,IF(F31&lt;1000,1000,IF(F31&lt;5000, 5000, 0)))))))</f>
        <v>100</v>
      </c>
      <c r="H31" s="18">
        <f>IF(G31=5, 5, IF(G31=10, 25, IF(G31=50, 50, IF(G31=100, 100, IF(G31=250, 250, IF(G31=500, 500, IF(G31=1000, 1000, IF(G31=5000, 2000, 0))))))))</f>
        <v>100</v>
      </c>
      <c r="I31" s="18">
        <f>IF(G31=0,"DONE",G31-F31)</f>
        <v>18</v>
      </c>
      <c r="J31" s="20">
        <f>IF(G31=0,0,H31/I31+0.00001*(500-A31))</f>
        <v>5.5602955555555553</v>
      </c>
      <c r="K31" s="27" t="s">
        <v>13</v>
      </c>
      <c r="L31" s="1"/>
      <c r="M31" s="1"/>
      <c r="N31" s="1"/>
      <c r="O31" s="1"/>
      <c r="P31" s="1"/>
      <c r="Q31" s="1"/>
      <c r="R31" s="1"/>
    </row>
    <row r="32" spans="1:18" ht="15" customHeight="1" x14ac:dyDescent="0.25">
      <c r="A32" s="22">
        <v>27</v>
      </c>
      <c r="B32" s="23" t="s">
        <v>65</v>
      </c>
      <c r="C32" s="24" t="s">
        <v>66</v>
      </c>
      <c r="D32" s="25">
        <v>2</v>
      </c>
      <c r="E32" s="26">
        <v>1</v>
      </c>
      <c r="F32" s="39">
        <v>118</v>
      </c>
      <c r="G32" s="18">
        <f>IF(F32&lt;10,10,IF(F32&lt;50,50,IF(F32&lt;100,100,IF(F32&lt;250,250,IF(F32&lt;500,500,IF(F32&lt;1000,1000,IF(F32&lt;5000, 5000, 0)))))))</f>
        <v>250</v>
      </c>
      <c r="H32" s="18">
        <f>IF(G32=5, 5, IF(G32=10, 25, IF(G32=50, 50, IF(G32=100, 100, IF(G32=250, 250, IF(G32=500, 500, IF(G32=1000, 1000, IF(G32=5000, 2000, 0))))))))</f>
        <v>250</v>
      </c>
      <c r="I32" s="18">
        <f>IF(G32=0,"DONE",G32-F32)</f>
        <v>132</v>
      </c>
      <c r="J32" s="20">
        <f>IF(G32=0,0,H32/I32+0.00001*(500-A32))</f>
        <v>1.8986693939393939</v>
      </c>
      <c r="K32" s="27" t="s">
        <v>13</v>
      </c>
      <c r="L32" s="1"/>
      <c r="M32" s="1"/>
      <c r="N32" s="1"/>
      <c r="O32" s="1"/>
      <c r="P32" s="1"/>
      <c r="Q32" s="1"/>
      <c r="R32" s="1"/>
    </row>
    <row r="33" spans="1:18" ht="15" customHeight="1" x14ac:dyDescent="0.25">
      <c r="A33" s="22">
        <v>28</v>
      </c>
      <c r="B33" s="23" t="s">
        <v>67</v>
      </c>
      <c r="C33" s="24" t="s">
        <v>68</v>
      </c>
      <c r="D33" s="25">
        <v>2</v>
      </c>
      <c r="E33" s="26">
        <v>1</v>
      </c>
      <c r="F33" s="39">
        <v>114</v>
      </c>
      <c r="G33" s="18">
        <f>IF(F33&lt;10,10,IF(F33&lt;50,50,IF(F33&lt;100,100,IF(F33&lt;250,250,IF(F33&lt;500,500,IF(F33&lt;1000,1000,IF(F33&lt;5000, 5000, 0)))))))</f>
        <v>250</v>
      </c>
      <c r="H33" s="18">
        <f>IF(G33=5, 5, IF(G33=10, 25, IF(G33=50, 50, IF(G33=100, 100, IF(G33=250, 250, IF(G33=500, 500, IF(G33=1000, 1000, IF(G33=5000, 2000, 0))))))))</f>
        <v>250</v>
      </c>
      <c r="I33" s="18">
        <f>IF(G33=0,"DONE",G33-F33)</f>
        <v>136</v>
      </c>
      <c r="J33" s="20">
        <f>IF(G33=0,0,H33/I33+0.00001*(500-A33))</f>
        <v>1.842955294117647</v>
      </c>
      <c r="K33" s="27" t="s">
        <v>13</v>
      </c>
      <c r="L33" s="1"/>
      <c r="M33" s="1"/>
      <c r="N33" s="1"/>
      <c r="O33" s="1"/>
      <c r="P33" s="1"/>
      <c r="Q33" s="1"/>
      <c r="R33" s="1"/>
    </row>
    <row r="34" spans="1:18" ht="15" customHeight="1" x14ac:dyDescent="0.25">
      <c r="A34" s="22">
        <v>29</v>
      </c>
      <c r="B34" s="23" t="s">
        <v>69</v>
      </c>
      <c r="C34" s="24" t="s">
        <v>70</v>
      </c>
      <c r="D34" s="25">
        <v>2</v>
      </c>
      <c r="E34" s="26">
        <v>1</v>
      </c>
      <c r="F34" s="39">
        <v>108</v>
      </c>
      <c r="G34" s="18">
        <f>IF(F34&lt;10,10,IF(F34&lt;50,50,IF(F34&lt;100,100,IF(F34&lt;250,250,IF(F34&lt;500,500,IF(F34&lt;1000,1000,IF(F34&lt;5000, 5000, 0)))))))</f>
        <v>250</v>
      </c>
      <c r="H34" s="18">
        <f>IF(G34=5, 5, IF(G34=10, 25, IF(G34=50, 50, IF(G34=100, 100, IF(G34=250, 250, IF(G34=500, 500, IF(G34=1000, 1000, IF(G34=5000, 2000, 0))))))))</f>
        <v>250</v>
      </c>
      <c r="I34" s="18">
        <f>IF(G34=0,"DONE",G34-F34)</f>
        <v>142</v>
      </c>
      <c r="J34" s="20">
        <f>IF(G34=0,0,H34/I34+0.00001*(500-A34))</f>
        <v>1.7652733802816902</v>
      </c>
      <c r="K34" s="27" t="s">
        <v>13</v>
      </c>
      <c r="L34" s="1"/>
      <c r="M34" s="1"/>
      <c r="N34" s="1"/>
      <c r="O34" s="1"/>
      <c r="P34" s="1"/>
      <c r="Q34" s="1"/>
      <c r="R34" s="1"/>
    </row>
    <row r="35" spans="1:18" ht="15" customHeight="1" x14ac:dyDescent="0.25">
      <c r="A35" s="22">
        <v>30</v>
      </c>
      <c r="B35" s="23" t="s">
        <v>71</v>
      </c>
      <c r="C35" s="24" t="s">
        <v>72</v>
      </c>
      <c r="D35" s="25">
        <v>2</v>
      </c>
      <c r="E35" s="26">
        <v>1</v>
      </c>
      <c r="F35" s="39">
        <v>88</v>
      </c>
      <c r="G35" s="18">
        <f>IF(F35&lt;10,10,IF(F35&lt;50,50,IF(F35&lt;100,100,IF(F35&lt;250,250,IF(F35&lt;500,500,IF(F35&lt;1000,1000,IF(F35&lt;5000, 5000, 0)))))))</f>
        <v>100</v>
      </c>
      <c r="H35" s="18">
        <f>IF(G35=5, 5, IF(G35=10, 25, IF(G35=50, 50, IF(G35=100, 100, IF(G35=250, 250, IF(G35=500, 500, IF(G35=1000, 1000, IF(G35=5000, 2000, 0))))))))</f>
        <v>100</v>
      </c>
      <c r="I35" s="18">
        <f>IF(G35=0,"DONE",G35-F35)</f>
        <v>12</v>
      </c>
      <c r="J35" s="20">
        <f>IF(G35=0,0,H35/I35+0.00001*(500-A35))</f>
        <v>8.3380333333333336</v>
      </c>
      <c r="K35" s="27" t="s">
        <v>13</v>
      </c>
      <c r="L35" s="1"/>
      <c r="M35" s="1"/>
      <c r="N35" s="1"/>
      <c r="O35" s="1"/>
      <c r="P35" s="1"/>
      <c r="Q35" s="1"/>
      <c r="R35" s="1"/>
    </row>
    <row r="36" spans="1:18" ht="15" customHeight="1" x14ac:dyDescent="0.25">
      <c r="A36" s="22">
        <v>31</v>
      </c>
      <c r="B36" s="23" t="s">
        <v>73</v>
      </c>
      <c r="C36" s="24" t="s">
        <v>74</v>
      </c>
      <c r="D36" s="25">
        <v>2</v>
      </c>
      <c r="E36" s="26">
        <v>1</v>
      </c>
      <c r="F36" s="39">
        <v>82</v>
      </c>
      <c r="G36" s="18">
        <f>IF(F36&lt;10,10,IF(F36&lt;50,50,IF(F36&lt;100,100,IF(F36&lt;250,250,IF(F36&lt;500,500,IF(F36&lt;1000,1000,IF(F36&lt;5000, 5000, 0)))))))</f>
        <v>100</v>
      </c>
      <c r="H36" s="18">
        <f>IF(G36=5, 5, IF(G36=10, 25, IF(G36=50, 50, IF(G36=100, 100, IF(G36=250, 250, IF(G36=500, 500, IF(G36=1000, 1000, IF(G36=5000, 2000, 0))))))))</f>
        <v>100</v>
      </c>
      <c r="I36" s="18">
        <f>IF(G36=0,"DONE",G36-F36)</f>
        <v>18</v>
      </c>
      <c r="J36" s="20">
        <f>IF(G36=0,0,H36/I36+0.00001*(500-A36))</f>
        <v>5.5602455555555554</v>
      </c>
      <c r="K36" s="27" t="s">
        <v>13</v>
      </c>
      <c r="L36" s="1"/>
      <c r="M36" s="1"/>
      <c r="N36" s="1"/>
      <c r="O36" s="1"/>
      <c r="P36" s="1"/>
      <c r="Q36" s="1"/>
      <c r="R36" s="1"/>
    </row>
    <row r="37" spans="1:18" ht="15" customHeight="1" x14ac:dyDescent="0.25">
      <c r="A37" s="22">
        <v>32</v>
      </c>
      <c r="B37" s="23" t="s">
        <v>75</v>
      </c>
      <c r="C37" s="24" t="s">
        <v>76</v>
      </c>
      <c r="D37" s="25">
        <v>2</v>
      </c>
      <c r="E37" s="26">
        <v>0</v>
      </c>
      <c r="F37" s="39">
        <v>14</v>
      </c>
      <c r="G37" s="18">
        <f>IF(F37&lt;10,10,IF(F37&lt;50,50,IF(F37&lt;100,100,IF(F37&lt;250,250,IF(F37&lt;500,500,IF(F37&lt;1000,1000,0))))))</f>
        <v>50</v>
      </c>
      <c r="H37" s="18">
        <f>IF(G37=10, 50, IF(G37=50, 100, IF(G37=100, 250, IF(G37=250, 500, IF(G37=500, 1000, IF(G37=1000, 2000, 0))))))</f>
        <v>100</v>
      </c>
      <c r="I37" s="18">
        <f>IF(G37=0,"DONE",G37-F37)</f>
        <v>36</v>
      </c>
      <c r="J37" s="20">
        <f>IF(G37=0,0,H37/I37+0.00001*(500-A37))</f>
        <v>2.7824577777777777</v>
      </c>
      <c r="K37" s="27" t="s">
        <v>13</v>
      </c>
      <c r="L37" s="1"/>
      <c r="M37" s="1"/>
      <c r="N37" s="1"/>
      <c r="O37" s="1"/>
      <c r="P37" s="1"/>
      <c r="Q37" s="1"/>
      <c r="R37" s="1"/>
    </row>
    <row r="38" spans="1:18" ht="15" customHeight="1" x14ac:dyDescent="0.25">
      <c r="A38" s="22">
        <v>33</v>
      </c>
      <c r="B38" s="23" t="s">
        <v>77</v>
      </c>
      <c r="C38" s="24" t="s">
        <v>78</v>
      </c>
      <c r="D38" s="25">
        <v>2</v>
      </c>
      <c r="E38" s="26">
        <v>1</v>
      </c>
      <c r="F38" s="39">
        <v>72</v>
      </c>
      <c r="G38" s="18">
        <f>IF(F38&lt;10,10,IF(F38&lt;50,50,IF(F38&lt;100,100,IF(F38&lt;250,250,IF(F38&lt;500,500,IF(F38&lt;1000,1000,IF(F38&lt;5000, 5000, 0)))))))</f>
        <v>100</v>
      </c>
      <c r="H38" s="18">
        <f>IF(G38=5, 5, IF(G38=10, 25, IF(G38=50, 50, IF(G38=100, 100, IF(G38=250, 250, IF(G38=500, 500, IF(G38=1000, 1000, IF(G38=5000, 2000, 0))))))))</f>
        <v>100</v>
      </c>
      <c r="I38" s="18">
        <f>IF(G38=0,"DONE",G38-F38)</f>
        <v>28</v>
      </c>
      <c r="J38" s="20">
        <f>IF(G38=0,0,H38/I38+0.00001*(500-A38))</f>
        <v>3.5760985714285716</v>
      </c>
      <c r="K38" s="27" t="s">
        <v>13</v>
      </c>
      <c r="L38" s="1"/>
      <c r="M38" s="1"/>
      <c r="N38" s="1"/>
      <c r="O38" s="1"/>
      <c r="P38" s="1"/>
      <c r="Q38" s="1"/>
      <c r="R38" s="1"/>
    </row>
    <row r="39" spans="1:18" ht="15" customHeight="1" x14ac:dyDescent="0.25">
      <c r="A39" s="22">
        <v>34</v>
      </c>
      <c r="B39" s="23" t="s">
        <v>79</v>
      </c>
      <c r="C39" s="24" t="s">
        <v>80</v>
      </c>
      <c r="D39" s="25">
        <v>2</v>
      </c>
      <c r="E39" s="26">
        <v>1</v>
      </c>
      <c r="F39" s="39">
        <v>165</v>
      </c>
      <c r="G39" s="18">
        <f>IF(F39&lt;10,10,IF(F39&lt;50,50,IF(F39&lt;100,100,IF(F39&lt;250,250,IF(F39&lt;500,500,IF(F39&lt;1000,1000,IF(F39&lt;5000, 5000, 0)))))))</f>
        <v>250</v>
      </c>
      <c r="H39" s="18">
        <f>IF(G39=5, 5, IF(G39=10, 25, IF(G39=50, 50, IF(G39=100, 100, IF(G39=250, 250, IF(G39=500, 500, IF(G39=1000, 1000, IF(G39=5000, 2000, 0))))))))</f>
        <v>250</v>
      </c>
      <c r="I39" s="18">
        <f>IF(G39=0,"DONE",G39-F39)</f>
        <v>85</v>
      </c>
      <c r="J39" s="20">
        <f>IF(G39=0,0,H39/I39+0.00001*(500-A39))</f>
        <v>2.9458364705882354</v>
      </c>
      <c r="K39" s="27" t="s">
        <v>13</v>
      </c>
      <c r="L39" s="1"/>
      <c r="M39" s="1"/>
      <c r="N39" s="1"/>
      <c r="O39" s="1"/>
      <c r="P39" s="1"/>
      <c r="Q39" s="1"/>
      <c r="R39" s="1"/>
    </row>
    <row r="40" spans="1:18" ht="15" customHeight="1" x14ac:dyDescent="0.25">
      <c r="A40" s="22">
        <v>35</v>
      </c>
      <c r="B40" s="23" t="s">
        <v>81</v>
      </c>
      <c r="C40" s="24" t="s">
        <v>82</v>
      </c>
      <c r="D40" s="25">
        <v>2</v>
      </c>
      <c r="E40" s="26">
        <v>1</v>
      </c>
      <c r="F40" s="39">
        <v>52</v>
      </c>
      <c r="G40" s="18">
        <f>IF(F40&lt;10,10,IF(F40&lt;50,50,IF(F40&lt;100,100,IF(F40&lt;250,250,IF(F40&lt;500,500,IF(F40&lt;1000,1000,IF(F40&lt;5000, 5000, 0)))))))</f>
        <v>100</v>
      </c>
      <c r="H40" s="18">
        <f>IF(G40=5, 5, IF(G40=10, 25, IF(G40=50, 50, IF(G40=100, 100, IF(G40=250, 250, IF(G40=500, 500, IF(G40=1000, 1000, IF(G40=5000, 2000, 0))))))))</f>
        <v>100</v>
      </c>
      <c r="I40" s="18">
        <f>IF(G40=0,"DONE",G40-F40)</f>
        <v>48</v>
      </c>
      <c r="J40" s="20">
        <f>IF(G40=0,0,H40/I40+0.00001*(500-A40))</f>
        <v>2.0879833333333333</v>
      </c>
      <c r="K40" s="27" t="s">
        <v>13</v>
      </c>
      <c r="L40" s="1"/>
      <c r="M40" s="1"/>
      <c r="N40" s="1"/>
      <c r="O40" s="1"/>
      <c r="P40" s="1"/>
      <c r="Q40" s="1"/>
      <c r="R40" s="1"/>
    </row>
    <row r="41" spans="1:18" ht="15" customHeight="1" x14ac:dyDescent="0.25">
      <c r="A41" s="22">
        <v>36</v>
      </c>
      <c r="B41" s="23" t="s">
        <v>83</v>
      </c>
      <c r="C41" s="24" t="s">
        <v>84</v>
      </c>
      <c r="D41" s="25">
        <v>2</v>
      </c>
      <c r="E41" s="26">
        <v>1</v>
      </c>
      <c r="F41" s="39">
        <v>106</v>
      </c>
      <c r="G41" s="18">
        <f>IF(F41&lt;10,10,IF(F41&lt;50,50,IF(F41&lt;100,100,IF(F41&lt;250,250,IF(F41&lt;500,500,IF(F41&lt;1000,1000,IF(F41&lt;5000, 5000, 0)))))))</f>
        <v>250</v>
      </c>
      <c r="H41" s="18">
        <f>IF(G41=5, 5, IF(G41=10, 25, IF(G41=50, 50, IF(G41=100, 100, IF(G41=250, 250, IF(G41=500, 500, IF(G41=1000, 1000, IF(G41=5000, 2000, 0))))))))</f>
        <v>250</v>
      </c>
      <c r="I41" s="18">
        <f>IF(G41=0,"DONE",G41-F41)</f>
        <v>144</v>
      </c>
      <c r="J41" s="20">
        <f>IF(G41=0,0,H41/I41+0.00001*(500-A41))</f>
        <v>1.7407511111111111</v>
      </c>
      <c r="K41" s="27" t="s">
        <v>13</v>
      </c>
      <c r="L41" s="1"/>
      <c r="M41" s="1"/>
      <c r="N41" s="1"/>
      <c r="O41" s="1"/>
      <c r="P41" s="1"/>
      <c r="Q41" s="1"/>
      <c r="R41" s="1"/>
    </row>
    <row r="42" spans="1:18" ht="15" customHeight="1" x14ac:dyDescent="0.25">
      <c r="A42" s="22">
        <v>37</v>
      </c>
      <c r="B42" s="23" t="s">
        <v>85</v>
      </c>
      <c r="C42" s="24" t="s">
        <v>86</v>
      </c>
      <c r="D42" s="25">
        <v>2</v>
      </c>
      <c r="E42" s="26">
        <v>1</v>
      </c>
      <c r="F42" s="39">
        <v>52</v>
      </c>
      <c r="G42" s="18">
        <f>IF(F42&lt;10,10,IF(F42&lt;50,50,IF(F42&lt;100,100,IF(F42&lt;250,250,IF(F42&lt;500,500,IF(F42&lt;1000,1000,IF(F42&lt;5000, 5000, 0)))))))</f>
        <v>100</v>
      </c>
      <c r="H42" s="18">
        <f>IF(G42=5, 5, IF(G42=10, 25, IF(G42=50, 50, IF(G42=100, 100, IF(G42=250, 250, IF(G42=500, 500, IF(G42=1000, 1000, IF(G42=5000, 2000, 0))))))))</f>
        <v>100</v>
      </c>
      <c r="I42" s="18">
        <f>IF(G42=0,"DONE",G42-F42)</f>
        <v>48</v>
      </c>
      <c r="J42" s="20">
        <f>IF(G42=0,0,H42/I42+0.00001*(500-A42))</f>
        <v>2.0879633333333336</v>
      </c>
      <c r="K42" s="27" t="s">
        <v>13</v>
      </c>
      <c r="L42" s="1"/>
      <c r="M42" s="1"/>
      <c r="N42" s="1"/>
      <c r="O42" s="1"/>
      <c r="P42" s="1"/>
      <c r="Q42" s="1"/>
      <c r="R42" s="1"/>
    </row>
    <row r="43" spans="1:18" ht="15" customHeight="1" x14ac:dyDescent="0.25">
      <c r="A43" s="22">
        <v>38</v>
      </c>
      <c r="B43" s="23" t="s">
        <v>87</v>
      </c>
      <c r="C43" s="24" t="s">
        <v>88</v>
      </c>
      <c r="D43" s="25">
        <v>2</v>
      </c>
      <c r="E43" s="26">
        <v>1</v>
      </c>
      <c r="F43" s="39">
        <v>57</v>
      </c>
      <c r="G43" s="18">
        <f>IF(F43&lt;10,10,IF(F43&lt;50,50,IF(F43&lt;100,100,IF(F43&lt;250,250,IF(F43&lt;500,500,IF(F43&lt;1000,1000,IF(F43&lt;5000, 5000, 0)))))))</f>
        <v>100</v>
      </c>
      <c r="H43" s="18">
        <f>IF(G43=5, 5, IF(G43=10, 25, IF(G43=50, 50, IF(G43=100, 100, IF(G43=250, 250, IF(G43=500, 500, IF(G43=1000, 1000, IF(G43=5000, 2000, 0))))))))</f>
        <v>100</v>
      </c>
      <c r="I43" s="18">
        <f>IF(G43=0,"DONE",G43-F43)</f>
        <v>43</v>
      </c>
      <c r="J43" s="20">
        <f>IF(G43=0,0,H43/I43+0.00001*(500-A43))</f>
        <v>2.3302013953488374</v>
      </c>
      <c r="K43" s="27" t="s">
        <v>13</v>
      </c>
      <c r="L43" s="1"/>
      <c r="M43" s="1"/>
      <c r="N43" s="1"/>
      <c r="O43" s="1"/>
      <c r="P43" s="1"/>
      <c r="Q43" s="1"/>
      <c r="R43" s="1"/>
    </row>
    <row r="44" spans="1:18" ht="15" customHeight="1" x14ac:dyDescent="0.25">
      <c r="A44" s="22">
        <v>39</v>
      </c>
      <c r="B44" s="23" t="s">
        <v>89</v>
      </c>
      <c r="C44" s="24" t="s">
        <v>90</v>
      </c>
      <c r="D44" s="25">
        <v>2</v>
      </c>
      <c r="E44" s="26">
        <v>0</v>
      </c>
      <c r="F44" s="39">
        <v>30</v>
      </c>
      <c r="G44" s="18">
        <f>IF(F44&lt;10,10,IF(F44&lt;50,50,IF(F44&lt;100,100,IF(F44&lt;250,250,IF(F44&lt;500,500,IF(F44&lt;1000,1000,IF(F44&lt;5000, 5000, 0)))))))</f>
        <v>50</v>
      </c>
      <c r="H44" s="18">
        <f>IF(G44=5, 5, IF(G44=10, 25, IF(G44=50, 50, IF(G44=100, 100, IF(G44=250, 250, IF(G44=500, 500, IF(G44=1000, 1000, IF(G44=5000, 2000, 0))))))))</f>
        <v>50</v>
      </c>
      <c r="I44" s="18">
        <f>IF(G44=0,"DONE",G44-F44)</f>
        <v>20</v>
      </c>
      <c r="J44" s="20">
        <f>IF(G44=0,0,H44/I44+0.00001*(500-A44))</f>
        <v>2.50461</v>
      </c>
      <c r="K44" s="27" t="s">
        <v>13</v>
      </c>
      <c r="L44" s="1"/>
      <c r="M44" s="1"/>
      <c r="N44" s="1"/>
      <c r="O44" s="1"/>
      <c r="P44" s="1"/>
      <c r="Q44" s="1"/>
      <c r="R44" s="1"/>
    </row>
    <row r="45" spans="1:18" ht="15" customHeight="1" x14ac:dyDescent="0.25">
      <c r="A45" s="22">
        <v>40</v>
      </c>
      <c r="B45" s="23" t="s">
        <v>91</v>
      </c>
      <c r="C45" s="24" t="s">
        <v>92</v>
      </c>
      <c r="D45" s="25">
        <v>2</v>
      </c>
      <c r="E45" s="26">
        <v>1</v>
      </c>
      <c r="F45" s="39">
        <v>73</v>
      </c>
      <c r="G45" s="18">
        <f>IF(F45&lt;10,10,IF(F45&lt;50,50,IF(F45&lt;100,100,IF(F45&lt;250,250,IF(F45&lt;500,500,IF(F45&lt;1000,1000,IF(F45&lt;5000, 5000, 0)))))))</f>
        <v>100</v>
      </c>
      <c r="H45" s="18">
        <f>IF(G45=5, 5, IF(G45=10, 25, IF(G45=50, 50, IF(G45=100, 100, IF(G45=250, 250, IF(G45=500, 500, IF(G45=1000, 1000, IF(G45=5000, 2000, 0))))))))</f>
        <v>100</v>
      </c>
      <c r="I45" s="18">
        <f>IF(G45=0,"DONE",G45-F45)</f>
        <v>27</v>
      </c>
      <c r="J45" s="20">
        <f>IF(G45=0,0,H45/I45+0.00001*(500-A45))</f>
        <v>3.7083037037037037</v>
      </c>
      <c r="K45" s="27" t="s">
        <v>13</v>
      </c>
      <c r="L45" s="1"/>
      <c r="M45" s="1"/>
      <c r="N45" s="1"/>
      <c r="O45" s="1"/>
      <c r="P45" s="1"/>
      <c r="Q45" s="1"/>
      <c r="R45" s="1"/>
    </row>
    <row r="46" spans="1:18" ht="15" customHeight="1" x14ac:dyDescent="0.25">
      <c r="A46" s="22">
        <v>41</v>
      </c>
      <c r="B46" s="23" t="s">
        <v>93</v>
      </c>
      <c r="C46" s="24" t="s">
        <v>94</v>
      </c>
      <c r="D46" s="25">
        <v>2</v>
      </c>
      <c r="E46" s="26">
        <v>1</v>
      </c>
      <c r="F46" s="39">
        <v>33</v>
      </c>
      <c r="G46" s="18">
        <f>IF(F46&lt;10,10,IF(F46&lt;50,50,IF(F46&lt;100,100,IF(F46&lt;250,250,IF(F46&lt;500,500,IF(F46&lt;1000,1000,IF(F46&lt;5000, 5000, 0)))))))</f>
        <v>50</v>
      </c>
      <c r="H46" s="18">
        <f>IF(G46=5, 5, IF(G46=10, 25, IF(G46=50, 50, IF(G46=100, 100, IF(G46=250, 250, IF(G46=500, 500, IF(G46=1000, 1000, IF(G46=5000, 2000, 0))))))))</f>
        <v>50</v>
      </c>
      <c r="I46" s="18">
        <f>IF(G46=0,"DONE",G46-F46)</f>
        <v>17</v>
      </c>
      <c r="J46" s="20">
        <f>IF(G46=0,0,H46/I46+0.00001*(500-A46))</f>
        <v>2.9457664705882354</v>
      </c>
      <c r="K46" s="27" t="s">
        <v>13</v>
      </c>
      <c r="L46" s="1"/>
      <c r="M46" s="1"/>
      <c r="N46" s="1"/>
      <c r="O46" s="1"/>
      <c r="P46" s="1"/>
      <c r="Q46" s="1"/>
      <c r="R46" s="1"/>
    </row>
    <row r="47" spans="1:18" ht="15" customHeight="1" x14ac:dyDescent="0.25">
      <c r="A47" s="22">
        <v>42</v>
      </c>
      <c r="B47" s="23" t="s">
        <v>95</v>
      </c>
      <c r="C47" s="24" t="s">
        <v>96</v>
      </c>
      <c r="D47" s="25">
        <v>2</v>
      </c>
      <c r="E47" s="26">
        <v>1</v>
      </c>
      <c r="F47" s="39">
        <v>58</v>
      </c>
      <c r="G47" s="18">
        <f>IF(F47&lt;10,10,IF(F47&lt;50,50,IF(F47&lt;100,100,IF(F47&lt;250,250,IF(F47&lt;500,500,IF(F47&lt;1000,1000,0))))))</f>
        <v>100</v>
      </c>
      <c r="H47" s="18">
        <f>IF(G47=10, 50, IF(G47=50, 100, IF(G47=100, 250, IF(G47=250, 500, IF(G47=500, 1000, IF(G47=1000, 2000, 0))))))</f>
        <v>250</v>
      </c>
      <c r="I47" s="18">
        <f>IF(G47=0,"DONE",G47-F47)</f>
        <v>42</v>
      </c>
      <c r="J47" s="20">
        <f>IF(G47=0,0,H47/I47+0.00001*(500-A47))</f>
        <v>5.9569609523809524</v>
      </c>
      <c r="K47" s="27" t="s">
        <v>13</v>
      </c>
      <c r="L47" s="1"/>
      <c r="M47" s="1"/>
      <c r="N47" s="1"/>
      <c r="O47" s="1"/>
      <c r="P47" s="1"/>
      <c r="Q47" s="1"/>
      <c r="R47" s="1"/>
    </row>
    <row r="48" spans="1:18" ht="15" customHeight="1" x14ac:dyDescent="0.25">
      <c r="A48" s="22">
        <v>43</v>
      </c>
      <c r="B48" s="23" t="s">
        <v>97</v>
      </c>
      <c r="C48" s="24" t="s">
        <v>98</v>
      </c>
      <c r="D48" s="25">
        <v>2</v>
      </c>
      <c r="E48" s="26">
        <v>0</v>
      </c>
      <c r="F48" s="39">
        <v>13</v>
      </c>
      <c r="G48" s="18">
        <f>IF(F48&lt;10,10,IF(F48&lt;50,50,IF(F48&lt;100,100,IF(F48&lt;250,250,IF(F48&lt;500,500,IF(F48&lt;1000,1000,IF(F48&lt;5000, 5000, 0)))))))</f>
        <v>50</v>
      </c>
      <c r="H48" s="18">
        <f>IF(G48=5, 5, IF(G48=10, 25, IF(G48=50, 50, IF(G48=100, 100, IF(G48=250, 250, IF(G48=500, 500, IF(G48=1000, 1000, IF(G48=5000, 2000, 0))))))))</f>
        <v>50</v>
      </c>
      <c r="I48" s="18">
        <f>IF(G48=0,"DONE",G48-F48)</f>
        <v>37</v>
      </c>
      <c r="J48" s="20">
        <f>IF(G48=0,0,H48/I48+0.00001*(500-A48))</f>
        <v>1.3559213513513513</v>
      </c>
      <c r="K48" s="27" t="s">
        <v>13</v>
      </c>
      <c r="L48" s="1"/>
      <c r="M48" s="1"/>
      <c r="N48" s="1"/>
      <c r="O48" s="1"/>
      <c r="P48" s="1"/>
      <c r="Q48" s="1"/>
      <c r="R48" s="1"/>
    </row>
    <row r="49" spans="1:18" ht="15" customHeight="1" x14ac:dyDescent="0.25">
      <c r="A49" s="22">
        <v>44</v>
      </c>
      <c r="B49" s="23" t="s">
        <v>99</v>
      </c>
      <c r="C49" s="24" t="s">
        <v>92</v>
      </c>
      <c r="D49" s="25">
        <v>2</v>
      </c>
      <c r="E49" s="26">
        <v>0</v>
      </c>
      <c r="F49" s="39">
        <v>53</v>
      </c>
      <c r="G49" s="18">
        <f>IF(F49&lt;10,10,IF(F49&lt;50,50,IF(F49&lt;100,100,IF(F49&lt;250,250,IF(F49&lt;500,500,IF(F49&lt;1000,1000,IF(F49&lt;5000, 5000, 0)))))))</f>
        <v>100</v>
      </c>
      <c r="H49" s="18">
        <f>IF(G49=5, 5, IF(G49=10, 25, IF(G49=50, 50, IF(G49=100, 100, IF(G49=250, 250, IF(G49=500, 500, IF(G49=1000, 1000, IF(G49=5000, 2000, 0))))))))</f>
        <v>100</v>
      </c>
      <c r="I49" s="18">
        <f>IF(G49=0,"DONE",G49-F49)</f>
        <v>47</v>
      </c>
      <c r="J49" s="20">
        <f>IF(G49=0,0,H49/I49+0.00001*(500-A49))</f>
        <v>2.1322195744680852</v>
      </c>
      <c r="K49" s="27" t="s">
        <v>13</v>
      </c>
      <c r="L49" s="1"/>
      <c r="M49" s="1"/>
      <c r="N49" s="1"/>
      <c r="O49" s="1"/>
      <c r="P49" s="1"/>
      <c r="Q49" s="1"/>
      <c r="R49" s="1"/>
    </row>
    <row r="50" spans="1:18" ht="15" customHeight="1" x14ac:dyDescent="0.25">
      <c r="A50" s="22">
        <v>45</v>
      </c>
      <c r="B50" s="23" t="s">
        <v>100</v>
      </c>
      <c r="C50" s="24" t="s">
        <v>101</v>
      </c>
      <c r="D50" s="25">
        <v>2</v>
      </c>
      <c r="E50" s="26">
        <v>1</v>
      </c>
      <c r="F50" s="39">
        <v>53</v>
      </c>
      <c r="G50" s="18">
        <f>IF(F50&lt;10,10,IF(F50&lt;50,50,IF(F50&lt;100,100,IF(F50&lt;250,250,IF(F50&lt;500,500,IF(F50&lt;1000,1000,IF(F50&lt;5000, 5000, 0)))))))</f>
        <v>100</v>
      </c>
      <c r="H50" s="18">
        <f>IF(G50=5, 5, IF(G50=10, 25, IF(G50=50, 50, IF(G50=100, 100, IF(G50=250, 250, IF(G50=500, 500, IF(G50=1000, 1000, IF(G50=5000, 2000, 0))))))))</f>
        <v>100</v>
      </c>
      <c r="I50" s="18">
        <f>IF(G50=0,"DONE",G50-F50)</f>
        <v>47</v>
      </c>
      <c r="J50" s="20">
        <f>IF(G50=0,0,H50/I50+0.00001*(500-A50))</f>
        <v>2.1322095744680851</v>
      </c>
      <c r="K50" s="27" t="s">
        <v>13</v>
      </c>
      <c r="L50" s="1"/>
      <c r="M50" s="1"/>
      <c r="N50" s="1"/>
      <c r="O50" s="1"/>
      <c r="P50" s="1"/>
      <c r="Q50" s="1"/>
      <c r="R50" s="1"/>
    </row>
    <row r="51" spans="1:18" ht="15" customHeight="1" x14ac:dyDescent="0.25">
      <c r="A51" s="22">
        <v>46</v>
      </c>
      <c r="B51" s="23" t="s">
        <v>102</v>
      </c>
      <c r="C51" s="24" t="s">
        <v>103</v>
      </c>
      <c r="D51" s="25">
        <v>2</v>
      </c>
      <c r="E51" s="26">
        <v>0</v>
      </c>
      <c r="F51" s="39">
        <v>10</v>
      </c>
      <c r="G51" s="18">
        <f>IF(F51&lt;10,10,IF(F51&lt;50,50,IF(F51&lt;100,100,IF(F51&lt;250,250,IF(F51&lt;500,500,IF(F51&lt;1000,1000,IF(F51&lt;5000, 5000, 0)))))))</f>
        <v>50</v>
      </c>
      <c r="H51" s="18">
        <f>IF(G51=5, 5, IF(G51=10, 25, IF(G51=50, 50, IF(G51=100, 100, IF(G51=250, 250, IF(G51=500, 500, IF(G51=1000, 1000, IF(G51=5000, 2000, 0))))))))</f>
        <v>50</v>
      </c>
      <c r="I51" s="18">
        <f>IF(G51=0,"DONE",G51-F51)</f>
        <v>40</v>
      </c>
      <c r="J51" s="20">
        <f>IF(G51=0,0,H51/I51+0.00001*(500-A51))</f>
        <v>1.25454</v>
      </c>
      <c r="K51" s="27" t="s">
        <v>13</v>
      </c>
      <c r="L51" s="1"/>
      <c r="M51" s="1"/>
      <c r="N51" s="1"/>
      <c r="O51" s="1"/>
      <c r="P51" s="1"/>
      <c r="Q51" s="1"/>
      <c r="R51" s="1"/>
    </row>
    <row r="52" spans="1:18" ht="15" customHeight="1" x14ac:dyDescent="0.25">
      <c r="A52" s="22">
        <v>47</v>
      </c>
      <c r="B52" s="23" t="s">
        <v>104</v>
      </c>
      <c r="C52" s="24" t="s">
        <v>105</v>
      </c>
      <c r="D52" s="25">
        <v>2</v>
      </c>
      <c r="E52" s="26">
        <v>1</v>
      </c>
      <c r="F52" s="39">
        <v>111</v>
      </c>
      <c r="G52" s="18">
        <f>IF(F52&lt;10,10,IF(F52&lt;50,50,IF(F52&lt;100,100,IF(F52&lt;250,250,IF(F52&lt;500,500,IF(F52&lt;1000,1000,IF(F52&lt;5000, 5000, 0)))))))</f>
        <v>250</v>
      </c>
      <c r="H52" s="18">
        <f>IF(G52=5, 5, IF(G52=10, 25, IF(G52=50, 50, IF(G52=100, 100, IF(G52=250, 250, IF(G52=500, 500, IF(G52=1000, 1000, IF(G52=5000, 2000, 0))))))))</f>
        <v>250</v>
      </c>
      <c r="I52" s="18">
        <f>IF(G52=0,"DONE",G52-F52)</f>
        <v>139</v>
      </c>
      <c r="J52" s="20">
        <f>IF(G52=0,0,H52/I52+0.00001*(500-A52))</f>
        <v>1.8030911510791365</v>
      </c>
      <c r="K52" s="27" t="s">
        <v>13</v>
      </c>
      <c r="L52" s="1"/>
      <c r="M52" s="1"/>
      <c r="N52" s="1"/>
      <c r="O52" s="1"/>
      <c r="P52" s="1"/>
      <c r="Q52" s="1"/>
      <c r="R52" s="1"/>
    </row>
    <row r="53" spans="1:18" ht="15" customHeight="1" x14ac:dyDescent="0.25">
      <c r="A53" s="22">
        <v>48</v>
      </c>
      <c r="B53" s="23" t="s">
        <v>106</v>
      </c>
      <c r="C53" s="24" t="s">
        <v>107</v>
      </c>
      <c r="D53" s="25">
        <v>2</v>
      </c>
      <c r="E53" s="26">
        <v>0</v>
      </c>
      <c r="F53" s="39">
        <v>26</v>
      </c>
      <c r="G53" s="18">
        <f>IF(F53&lt;10,10,IF(F53&lt;50,50,IF(F53&lt;100,100,IF(F53&lt;250,250,IF(F53&lt;500,500,IF(F53&lt;1000,1000,IF(F53&lt;5000, 5000, 0)))))))</f>
        <v>50</v>
      </c>
      <c r="H53" s="18">
        <f>IF(G53=5, 5, IF(G53=10, 25, IF(G53=50, 50, IF(G53=100, 100, IF(G53=250, 250, IF(G53=500, 500, IF(G53=1000, 1000, IF(G53=5000, 2000, 0))))))))</f>
        <v>50</v>
      </c>
      <c r="I53" s="18">
        <f>IF(G53=0,"DONE",G53-F53)</f>
        <v>24</v>
      </c>
      <c r="J53" s="20">
        <f>IF(G53=0,0,H53/I53+0.00001*(500-A53))</f>
        <v>2.0878533333333333</v>
      </c>
      <c r="K53" s="27" t="s">
        <v>13</v>
      </c>
      <c r="L53" s="1"/>
      <c r="M53" s="1"/>
      <c r="N53" s="1"/>
      <c r="O53" s="1"/>
      <c r="P53" s="1"/>
      <c r="Q53" s="1"/>
      <c r="R53" s="1"/>
    </row>
    <row r="54" spans="1:18" ht="15" customHeight="1" x14ac:dyDescent="0.25">
      <c r="A54" s="22">
        <v>49</v>
      </c>
      <c r="B54" s="23" t="s">
        <v>108</v>
      </c>
      <c r="C54" s="24" t="s">
        <v>107</v>
      </c>
      <c r="D54" s="25">
        <v>2</v>
      </c>
      <c r="E54" s="26">
        <v>0</v>
      </c>
      <c r="F54" s="39">
        <v>11</v>
      </c>
      <c r="G54" s="18">
        <f>IF(F54&lt;10,10,IF(F54&lt;50,50,IF(F54&lt;100,100,IF(F54&lt;250,250,IF(F54&lt;500,500,IF(F54&lt;1000,1000,IF(F54&lt;5000, 5000, 0)))))))</f>
        <v>50</v>
      </c>
      <c r="H54" s="18">
        <f>IF(G54=5, 5, IF(G54=10, 25, IF(G54=50, 50, IF(G54=100, 100, IF(G54=250, 250, IF(G54=500, 500, IF(G54=1000, 1000, IF(G54=5000, 2000, 0))))))))</f>
        <v>50</v>
      </c>
      <c r="I54" s="18">
        <f>IF(G54=0,"DONE",G54-F54)</f>
        <v>39</v>
      </c>
      <c r="J54" s="20">
        <f>IF(G54=0,0,H54/I54+0.00001*(500-A54))</f>
        <v>1.2865612820512822</v>
      </c>
      <c r="K54" s="27" t="s">
        <v>58</v>
      </c>
      <c r="L54" s="1"/>
      <c r="M54" s="1"/>
      <c r="N54" s="1"/>
      <c r="O54" s="1"/>
      <c r="P54" s="1"/>
      <c r="Q54" s="1"/>
      <c r="R54" s="1"/>
    </row>
    <row r="55" spans="1:18" ht="15" customHeight="1" x14ac:dyDescent="0.25">
      <c r="A55" s="22">
        <v>50</v>
      </c>
      <c r="B55" s="23" t="s">
        <v>109</v>
      </c>
      <c r="C55" s="24" t="s">
        <v>110</v>
      </c>
      <c r="D55" s="25">
        <v>2</v>
      </c>
      <c r="E55" s="26">
        <v>0</v>
      </c>
      <c r="F55" s="39">
        <v>46</v>
      </c>
      <c r="G55" s="18">
        <f>IF(F55&lt;10,10,IF(F55&lt;50,50,IF(F55&lt;100,100,IF(F55&lt;250,250,IF(F55&lt;500,500,IF(F55&lt;1000,1000,IF(F55&lt;5000, 5000, 0)))))))</f>
        <v>50</v>
      </c>
      <c r="H55" s="18">
        <f>IF(G55=5, 5, IF(G55=10, 25, IF(G55=50, 50, IF(G55=100, 100, IF(G55=250, 250, IF(G55=500, 500, IF(G55=1000, 1000, IF(G55=5000, 2000, 0))))))))</f>
        <v>50</v>
      </c>
      <c r="I55" s="18">
        <f>IF(G55=0,"DONE",G55-F55)</f>
        <v>4</v>
      </c>
      <c r="J55" s="20">
        <f>IF(G55=0,0,H55/I55+0.00001*(500-A55))</f>
        <v>12.5045</v>
      </c>
      <c r="K55" s="27" t="s">
        <v>13</v>
      </c>
      <c r="L55" s="1"/>
      <c r="M55" s="1"/>
      <c r="N55" s="1"/>
      <c r="O55" s="1"/>
      <c r="P55" s="1"/>
      <c r="Q55" s="1"/>
      <c r="R55" s="1"/>
    </row>
    <row r="56" spans="1:18" ht="15" customHeight="1" x14ac:dyDescent="0.25">
      <c r="A56" s="22">
        <v>51</v>
      </c>
      <c r="B56" s="23" t="s">
        <v>111</v>
      </c>
      <c r="C56" s="24" t="s">
        <v>112</v>
      </c>
      <c r="D56" s="25">
        <v>2</v>
      </c>
      <c r="E56" s="26">
        <v>1</v>
      </c>
      <c r="F56" s="39">
        <v>1</v>
      </c>
      <c r="G56" s="18">
        <f>IF(F56&lt;10,10,IF(F56&lt;50,50,IF(F56&lt;100,100,IF(F56&lt;250,250,IF(F56&lt;500,500,IF(F56&lt;1000,1000,IF(F56&lt;5000, 5000, 0)))))))</f>
        <v>10</v>
      </c>
      <c r="H56" s="18">
        <f>IF(G56=5, 5, IF(G56=10, 25, IF(G56=50, 50, IF(G56=100, 100, IF(G56=250, 250, IF(G56=500, 500, IF(G56=1000, 1000, IF(G56=5000, 2000, 0))))))))</f>
        <v>25</v>
      </c>
      <c r="I56" s="18">
        <f>IF(G56=0,"DONE",G56-F56)</f>
        <v>9</v>
      </c>
      <c r="J56" s="20">
        <f>IF(G56=0,0,H56/I56+0.00001*(500-A56))</f>
        <v>2.7822677777777778</v>
      </c>
      <c r="K56" s="27" t="s">
        <v>13</v>
      </c>
      <c r="L56" s="1"/>
      <c r="M56" s="1"/>
      <c r="N56" s="1"/>
      <c r="O56" s="1"/>
      <c r="P56" s="1"/>
      <c r="Q56" s="1"/>
      <c r="R56" s="1"/>
    </row>
    <row r="57" spans="1:18" ht="15" customHeight="1" x14ac:dyDescent="0.25">
      <c r="A57" s="22">
        <v>52</v>
      </c>
      <c r="B57" s="23" t="s">
        <v>113</v>
      </c>
      <c r="C57" s="24" t="s">
        <v>114</v>
      </c>
      <c r="D57" s="25">
        <v>2</v>
      </c>
      <c r="E57" s="26">
        <v>0</v>
      </c>
      <c r="F57" s="39">
        <v>13</v>
      </c>
      <c r="G57" s="18">
        <f>IF(F57&lt;10,10,IF(F57&lt;50,50,IF(F57&lt;100,100,IF(F57&lt;250,250,IF(F57&lt;500,500,IF(F57&lt;1000,1000,IF(F57&lt;5000, 5000, 0)))))))</f>
        <v>50</v>
      </c>
      <c r="H57" s="18">
        <f>IF(G57=5, 5, IF(G57=10, 25, IF(G57=50, 50, IF(G57=100, 100, IF(G57=250, 250, IF(G57=500, 500, IF(G57=1000, 1000, IF(G57=5000, 2000, 0))))))))</f>
        <v>50</v>
      </c>
      <c r="I57" s="18">
        <f>IF(G57=0,"DONE",G57-F57)</f>
        <v>37</v>
      </c>
      <c r="J57" s="20">
        <f>IF(G57=0,0,H57/I57+0.00001*(500-A57))</f>
        <v>1.3558313513513514</v>
      </c>
      <c r="K57" s="27" t="s">
        <v>13</v>
      </c>
      <c r="L57" s="1"/>
      <c r="M57" s="1"/>
      <c r="N57" s="1"/>
      <c r="O57" s="1"/>
      <c r="P57" s="1"/>
      <c r="Q57" s="1"/>
      <c r="R57" s="1"/>
    </row>
    <row r="58" spans="1:18" ht="15" customHeight="1" x14ac:dyDescent="0.25">
      <c r="A58" s="22">
        <v>53</v>
      </c>
      <c r="B58" s="23" t="s">
        <v>115</v>
      </c>
      <c r="C58" s="24" t="s">
        <v>116</v>
      </c>
      <c r="D58" s="25">
        <v>3</v>
      </c>
      <c r="E58" s="26">
        <v>1</v>
      </c>
      <c r="F58" s="39">
        <v>113</v>
      </c>
      <c r="G58" s="18">
        <f>IF(F58&lt;10,10,IF(F58&lt;50,50,IF(F58&lt;100,100,IF(F58&lt;250,250,IF(F58&lt;500,500,IF(F58&lt;1000,1000,IF(F58&lt;5000, 5000, 0)))))))</f>
        <v>250</v>
      </c>
      <c r="H58" s="18">
        <f>IF(G58=5, 5, IF(G58=10, 10, IF(G58=50, 25, IF(G58=100, 50, IF(G58=250, 100, IF(G58=500, 250, IF(G58=1000, 500, IF(G58=5000, 1000, 0))))))))</f>
        <v>100</v>
      </c>
      <c r="I58" s="18">
        <f>IF(G58=0,"DONE",G58-F58)</f>
        <v>137</v>
      </c>
      <c r="J58" s="20">
        <f>IF(G58=0,0,H58/I58+0.00001*(500-A58))</f>
        <v>0.73439700729927004</v>
      </c>
      <c r="K58" s="27" t="s">
        <v>13</v>
      </c>
      <c r="L58" s="1"/>
      <c r="M58" s="1"/>
      <c r="N58" s="1"/>
      <c r="O58" s="1"/>
      <c r="P58" s="1"/>
      <c r="Q58" s="1"/>
      <c r="R58" s="1"/>
    </row>
    <row r="59" spans="1:18" ht="15" customHeight="1" x14ac:dyDescent="0.25">
      <c r="A59" s="22">
        <v>54</v>
      </c>
      <c r="B59" s="23" t="s">
        <v>117</v>
      </c>
      <c r="C59" s="24" t="s">
        <v>118</v>
      </c>
      <c r="D59" s="25">
        <v>3</v>
      </c>
      <c r="E59" s="26">
        <v>1</v>
      </c>
      <c r="F59" s="39">
        <v>115</v>
      </c>
      <c r="G59" s="18">
        <f>IF(F59&lt;10,10,IF(F59&lt;50,50,IF(F59&lt;100,100,IF(F59&lt;250,250,IF(F59&lt;500,500,IF(F59&lt;1000,1000,0))))))</f>
        <v>250</v>
      </c>
      <c r="H59" s="18">
        <f>IF(G59=10, 50, IF(G59=50, 100, IF(G59=100, 250, IF(G59=250, 500, IF(G59=500, 1000, IF(G59=1000, 2000, 0))))))</f>
        <v>500</v>
      </c>
      <c r="I59" s="18">
        <f>IF(G59=0,"DONE",G59-F59)</f>
        <v>135</v>
      </c>
      <c r="J59" s="20">
        <f>IF(G59=0,0,H59/I59+0.00001*(500-A59))</f>
        <v>3.7081637037037036</v>
      </c>
      <c r="K59" s="27" t="s">
        <v>13</v>
      </c>
      <c r="L59" s="1"/>
      <c r="M59" s="1"/>
      <c r="N59" s="1"/>
      <c r="O59" s="1"/>
      <c r="P59" s="1"/>
      <c r="Q59" s="1"/>
      <c r="R59" s="1"/>
    </row>
    <row r="60" spans="1:18" ht="15" customHeight="1" x14ac:dyDescent="0.25">
      <c r="A60" s="22">
        <v>55</v>
      </c>
      <c r="B60" s="23" t="s">
        <v>119</v>
      </c>
      <c r="C60" s="24" t="s">
        <v>120</v>
      </c>
      <c r="D60" s="25">
        <v>3</v>
      </c>
      <c r="E60" s="26">
        <v>1</v>
      </c>
      <c r="F60" s="39">
        <v>132</v>
      </c>
      <c r="G60" s="18">
        <f>IF(F60&lt;10,10,IF(F60&lt;50,50,IF(F60&lt;100,100,IF(F60&lt;250,250,IF(F60&lt;500,500,IF(F60&lt;1000,1000,0))))))</f>
        <v>250</v>
      </c>
      <c r="H60" s="18">
        <f>IF(G60=10, 50, IF(G60=50, 100, IF(G60=100, 250, IF(G60=250, 500, IF(G60=500, 1000, IF(G60=1000, 2000, 0))))))</f>
        <v>500</v>
      </c>
      <c r="I60" s="18">
        <f>IF(G60=0,"DONE",G60-F60)</f>
        <v>118</v>
      </c>
      <c r="J60" s="20">
        <f>IF(G60=0,0,H60/I60+0.00001*(500-A60))</f>
        <v>4.2417381355932209</v>
      </c>
      <c r="K60" s="27" t="s">
        <v>13</v>
      </c>
      <c r="L60" s="1"/>
      <c r="M60" s="1"/>
      <c r="N60" s="1"/>
      <c r="O60" s="1"/>
      <c r="P60" s="1"/>
      <c r="Q60" s="1"/>
      <c r="R60" s="1"/>
    </row>
    <row r="61" spans="1:18" ht="15" customHeight="1" x14ac:dyDescent="0.25">
      <c r="A61" s="22">
        <v>56</v>
      </c>
      <c r="B61" s="23" t="s">
        <v>121</v>
      </c>
      <c r="C61" s="24" t="s">
        <v>122</v>
      </c>
      <c r="D61" s="25">
        <v>3</v>
      </c>
      <c r="E61" s="26">
        <v>1</v>
      </c>
      <c r="F61" s="39">
        <v>110</v>
      </c>
      <c r="G61" s="18">
        <f>IF(F61&lt;10,10,IF(F61&lt;50,50,IF(F61&lt;100,100,IF(F61&lt;250,250,IF(F61&lt;500,500,IF(F61&lt;1000,1000,0))))))</f>
        <v>250</v>
      </c>
      <c r="H61" s="18">
        <f>IF(G61=10, 50, IF(G61=50, 100, IF(G61=100, 250, IF(G61=250, 500, IF(G61=500, 1000, IF(G61=1000, 2000, 0))))))</f>
        <v>500</v>
      </c>
      <c r="I61" s="18">
        <f>IF(G61=0,"DONE",G61-F61)</f>
        <v>140</v>
      </c>
      <c r="J61" s="20">
        <f>IF(G61=0,0,H61/I61+0.00001*(500-A61))</f>
        <v>3.5758685714285718</v>
      </c>
      <c r="K61" s="27" t="s">
        <v>13</v>
      </c>
      <c r="L61" s="1"/>
      <c r="M61" s="1"/>
      <c r="N61" s="1"/>
      <c r="O61" s="1"/>
      <c r="P61" s="1"/>
      <c r="Q61" s="1"/>
      <c r="R61" s="1"/>
    </row>
    <row r="62" spans="1:18" ht="15" customHeight="1" x14ac:dyDescent="0.25">
      <c r="A62" s="22">
        <v>57</v>
      </c>
      <c r="B62" s="23" t="s">
        <v>123</v>
      </c>
      <c r="C62" s="24" t="s">
        <v>124</v>
      </c>
      <c r="D62" s="25">
        <v>3</v>
      </c>
      <c r="E62" s="26">
        <v>1</v>
      </c>
      <c r="F62" s="39">
        <v>105</v>
      </c>
      <c r="G62" s="18">
        <f>IF(F62&lt;10,10,IF(F62&lt;50,50,IF(F62&lt;100,100,IF(F62&lt;250,250,IF(F62&lt;500,500,IF(F62&lt;1000,1000,0))))))</f>
        <v>250</v>
      </c>
      <c r="H62" s="18">
        <f>IF(G62=10, 50, IF(G62=50, 100, IF(G62=100, 250, IF(G62=250, 500, IF(G62=500, 1000, IF(G62=1000, 2000, 0))))))</f>
        <v>500</v>
      </c>
      <c r="I62" s="18">
        <f>IF(G62=0,"DONE",G62-F62)</f>
        <v>145</v>
      </c>
      <c r="J62" s="20">
        <f>IF(G62=0,0,H62/I62+0.00001*(500-A62))</f>
        <v>3.4527058620689655</v>
      </c>
      <c r="K62" s="27" t="s">
        <v>13</v>
      </c>
      <c r="L62" s="1"/>
      <c r="M62" s="1"/>
      <c r="N62" s="1"/>
      <c r="O62" s="1"/>
      <c r="P62" s="1"/>
      <c r="Q62" s="1"/>
      <c r="R62" s="1"/>
    </row>
    <row r="63" spans="1:18" ht="15" customHeight="1" x14ac:dyDescent="0.25">
      <c r="A63" s="22">
        <v>58</v>
      </c>
      <c r="B63" s="23" t="s">
        <v>125</v>
      </c>
      <c r="C63" s="24" t="s">
        <v>126</v>
      </c>
      <c r="D63" s="25">
        <v>3</v>
      </c>
      <c r="E63" s="26">
        <v>1</v>
      </c>
      <c r="F63" s="39">
        <v>105</v>
      </c>
      <c r="G63" s="18">
        <f>IF(F63&lt;10,10,IF(F63&lt;50,50,IF(F63&lt;100,100,IF(F63&lt;250,250,IF(F63&lt;500,500,IF(F63&lt;1000,1000,0))))))</f>
        <v>250</v>
      </c>
      <c r="H63" s="18">
        <f>IF(G63=10, 50, IF(G63=50, 100, IF(G63=100, 250, IF(G63=250, 500, IF(G63=500, 1000, IF(G63=1000, 2000, 0))))))</f>
        <v>500</v>
      </c>
      <c r="I63" s="18">
        <f>IF(G63=0,"DONE",G63-F63)</f>
        <v>145</v>
      </c>
      <c r="J63" s="20">
        <f>IF(G63=0,0,H63/I63+0.00001*(500-A63))</f>
        <v>3.4526958620689654</v>
      </c>
      <c r="K63" s="27" t="s">
        <v>13</v>
      </c>
      <c r="L63" s="1"/>
      <c r="M63" s="1"/>
      <c r="N63" s="1"/>
      <c r="O63" s="1"/>
      <c r="P63" s="1"/>
      <c r="Q63" s="1"/>
      <c r="R63" s="1"/>
    </row>
    <row r="64" spans="1:18" ht="15" customHeight="1" x14ac:dyDescent="0.25">
      <c r="A64" s="22">
        <v>59</v>
      </c>
      <c r="B64" s="23" t="s">
        <v>127</v>
      </c>
      <c r="C64" s="24" t="s">
        <v>128</v>
      </c>
      <c r="D64" s="25">
        <v>3</v>
      </c>
      <c r="E64" s="26">
        <v>1</v>
      </c>
      <c r="F64" s="39">
        <v>85</v>
      </c>
      <c r="G64" s="18">
        <f>IF(F64&lt;10,10,IF(F64&lt;50,50,IF(F64&lt;100,100,IF(F64&lt;250,250,IF(F64&lt;500,500,IF(F64&lt;1000,1000,0))))))</f>
        <v>100</v>
      </c>
      <c r="H64" s="18">
        <f>IF(G64=10, 50, IF(G64=50, 100, IF(G64=100, 250, IF(G64=250, 500, IF(G64=500, 1000, IF(G64=1000, 2000, 0))))))</f>
        <v>250</v>
      </c>
      <c r="I64" s="18">
        <f>IF(G64=0,"DONE",G64-F64)</f>
        <v>15</v>
      </c>
      <c r="J64" s="20">
        <f>IF(G64=0,0,H64/I64+0.00001*(500-A64))</f>
        <v>16.671076666666668</v>
      </c>
      <c r="K64" s="27" t="s">
        <v>13</v>
      </c>
      <c r="L64" s="1"/>
      <c r="M64" s="1"/>
      <c r="N64" s="1"/>
      <c r="O64" s="1"/>
      <c r="P64" s="1"/>
      <c r="Q64" s="1"/>
      <c r="R64" s="1"/>
    </row>
    <row r="65" spans="1:18" ht="15" customHeight="1" x14ac:dyDescent="0.25">
      <c r="A65" s="22">
        <v>60</v>
      </c>
      <c r="B65" s="23" t="s">
        <v>129</v>
      </c>
      <c r="C65" s="24" t="s">
        <v>130</v>
      </c>
      <c r="D65" s="25">
        <v>3</v>
      </c>
      <c r="E65" s="26">
        <v>1</v>
      </c>
      <c r="F65" s="39">
        <v>72</v>
      </c>
      <c r="G65" s="18">
        <f>IF(F65&lt;10,10,IF(F65&lt;50,50,IF(F65&lt;100,100,IF(F65&lt;250,250,IF(F65&lt;500,500,IF(F65&lt;1000,1000,0))))))</f>
        <v>100</v>
      </c>
      <c r="H65" s="18">
        <f>IF(G65=10, 50, IF(G65=50, 100, IF(G65=100, 250, IF(G65=250, 500, IF(G65=500, 1000, IF(G65=1000, 2000, 0))))))</f>
        <v>250</v>
      </c>
      <c r="I65" s="18">
        <f>IF(G65=0,"DONE",G65-F65)</f>
        <v>28</v>
      </c>
      <c r="J65" s="20">
        <f>IF(G65=0,0,H65/I65+0.00001*(500-A65))</f>
        <v>8.9329714285714292</v>
      </c>
      <c r="K65" s="27" t="s">
        <v>13</v>
      </c>
      <c r="L65" s="1"/>
      <c r="M65" s="1"/>
      <c r="N65" s="1"/>
      <c r="O65" s="1"/>
      <c r="P65" s="1"/>
      <c r="Q65" s="1"/>
      <c r="R65" s="1"/>
    </row>
    <row r="66" spans="1:18" ht="15" customHeight="1" x14ac:dyDescent="0.25">
      <c r="A66" s="22">
        <v>61</v>
      </c>
      <c r="B66" s="23" t="s">
        <v>131</v>
      </c>
      <c r="C66" s="24" t="s">
        <v>132</v>
      </c>
      <c r="D66" s="25">
        <v>3</v>
      </c>
      <c r="E66" s="26">
        <v>1</v>
      </c>
      <c r="F66" s="39">
        <v>203</v>
      </c>
      <c r="G66" s="18">
        <f>IF(F66&lt;10,10,IF(F66&lt;50,50,IF(F66&lt;100,100,IF(F66&lt;250,250,IF(F66&lt;500,500,IF(F66&lt;1000,1000,0))))))</f>
        <v>250</v>
      </c>
      <c r="H66" s="18">
        <f>IF(G66=10, 50, IF(G66=50, 100, IF(G66=100, 250, IF(G66=250, 500, IF(G66=500, 1000, IF(G66=1000, 2000, 0))))))</f>
        <v>500</v>
      </c>
      <c r="I66" s="18">
        <f>IF(G66=0,"DONE",G66-F66)</f>
        <v>47</v>
      </c>
      <c r="J66" s="20">
        <f>IF(G66=0,0,H66/I66+0.00001*(500-A66))</f>
        <v>10.642687872340426</v>
      </c>
      <c r="K66" s="27" t="s">
        <v>13</v>
      </c>
      <c r="L66" s="1"/>
      <c r="M66" s="1"/>
      <c r="N66" s="1"/>
      <c r="O66" s="1"/>
      <c r="P66" s="1"/>
      <c r="Q66" s="1"/>
      <c r="R66" s="1"/>
    </row>
    <row r="67" spans="1:18" ht="15" customHeight="1" x14ac:dyDescent="0.25">
      <c r="A67" s="22">
        <v>62</v>
      </c>
      <c r="B67" s="23" t="s">
        <v>133</v>
      </c>
      <c r="C67" s="24" t="s">
        <v>134</v>
      </c>
      <c r="D67" s="25">
        <v>3</v>
      </c>
      <c r="E67" s="26">
        <v>1</v>
      </c>
      <c r="F67" s="39">
        <v>85</v>
      </c>
      <c r="G67" s="18">
        <f>IF(F67&lt;10,10,IF(F67&lt;50,50,IF(F67&lt;100,100,IF(F67&lt;250,250,IF(F67&lt;500,500,IF(F67&lt;1000,1000,0))))))</f>
        <v>100</v>
      </c>
      <c r="H67" s="18">
        <f>IF(G67=10, 50, IF(G67=50, 100, IF(G67=100, 250, IF(G67=250, 500, IF(G67=500, 1000, IF(G67=1000, 2000, 0))))))</f>
        <v>250</v>
      </c>
      <c r="I67" s="18">
        <f>IF(G67=0,"DONE",G67-F67)</f>
        <v>15</v>
      </c>
      <c r="J67" s="20">
        <f>IF(G67=0,0,H67/I67+0.00001*(500-A67))</f>
        <v>16.671046666666669</v>
      </c>
      <c r="K67" s="27" t="s">
        <v>13</v>
      </c>
      <c r="L67" s="1"/>
      <c r="M67" s="1"/>
      <c r="N67" s="1"/>
      <c r="O67" s="1"/>
      <c r="P67" s="1"/>
      <c r="Q67" s="1"/>
      <c r="R67" s="1"/>
    </row>
    <row r="68" spans="1:18" ht="15" customHeight="1" x14ac:dyDescent="0.25">
      <c r="A68" s="22">
        <v>63</v>
      </c>
      <c r="B68" s="23" t="s">
        <v>135</v>
      </c>
      <c r="C68" s="24" t="s">
        <v>136</v>
      </c>
      <c r="D68" s="25">
        <v>3</v>
      </c>
      <c r="E68" s="26">
        <v>1</v>
      </c>
      <c r="F68" s="39">
        <v>75</v>
      </c>
      <c r="G68" s="18">
        <f>IF(F68&lt;10,10,IF(F68&lt;50,50,IF(F68&lt;100,100,IF(F68&lt;250,250,IF(F68&lt;500,500,IF(F68&lt;1000,1000,0))))))</f>
        <v>100</v>
      </c>
      <c r="H68" s="18">
        <f>IF(G68=10, 50, IF(G68=50, 100, IF(G68=100, 250, IF(G68=250, 500, IF(G68=500, 1000, IF(G68=1000, 2000, 0))))))</f>
        <v>250</v>
      </c>
      <c r="I68" s="18">
        <f>IF(G68=0,"DONE",G68-F68)</f>
        <v>25</v>
      </c>
      <c r="J68" s="20">
        <f>IF(G68=0,0,H68/I68+0.00001*(500-A68))</f>
        <v>10.00437</v>
      </c>
      <c r="K68" s="27" t="s">
        <v>13</v>
      </c>
      <c r="L68" s="1"/>
      <c r="M68" s="1"/>
      <c r="N68" s="1"/>
      <c r="O68" s="1"/>
      <c r="P68" s="1"/>
      <c r="Q68" s="1"/>
      <c r="R68" s="1"/>
    </row>
    <row r="69" spans="1:18" ht="15" customHeight="1" x14ac:dyDescent="0.25">
      <c r="A69" s="22">
        <v>64</v>
      </c>
      <c r="B69" s="23" t="s">
        <v>137</v>
      </c>
      <c r="C69" s="24" t="s">
        <v>138</v>
      </c>
      <c r="D69" s="25">
        <v>3</v>
      </c>
      <c r="E69" s="26">
        <v>1</v>
      </c>
      <c r="F69" s="39">
        <v>69</v>
      </c>
      <c r="G69" s="18">
        <f>IF(F69&lt;10,10,IF(F69&lt;50,50,IF(F69&lt;100,100,IF(F69&lt;250,250,IF(F69&lt;500,500,IF(F69&lt;1000,1000,0))))))</f>
        <v>100</v>
      </c>
      <c r="H69" s="18">
        <f>IF(G69=10, 50, IF(G69=50, 100, IF(G69=100, 250, IF(G69=250, 500, IF(G69=500, 1000, IF(G69=1000, 2000, 0))))))</f>
        <v>250</v>
      </c>
      <c r="I69" s="18">
        <f>IF(G69=0,"DONE",G69-F69)</f>
        <v>31</v>
      </c>
      <c r="J69" s="20">
        <f>IF(G69=0,0,H69/I69+0.00001*(500-A69))</f>
        <v>8.0688761290322581</v>
      </c>
      <c r="K69" s="27" t="s">
        <v>13</v>
      </c>
      <c r="L69" s="1"/>
      <c r="M69" s="1"/>
      <c r="N69" s="1"/>
      <c r="O69" s="1"/>
      <c r="P69" s="1"/>
      <c r="Q69" s="1"/>
      <c r="R69" s="1"/>
    </row>
    <row r="70" spans="1:18" ht="15" customHeight="1" x14ac:dyDescent="0.25">
      <c r="A70" s="22">
        <v>65</v>
      </c>
      <c r="B70" s="23" t="s">
        <v>139</v>
      </c>
      <c r="C70" s="24" t="s">
        <v>140</v>
      </c>
      <c r="D70" s="25">
        <v>3</v>
      </c>
      <c r="E70" s="26">
        <v>1</v>
      </c>
      <c r="F70" s="39">
        <v>42</v>
      </c>
      <c r="G70" s="18">
        <f>IF(F70&lt;10,10,IF(F70&lt;50,50,IF(F70&lt;100,100,IF(F70&lt;250,250,IF(F70&lt;500,500,IF(F70&lt;1000,1000,0))))))</f>
        <v>50</v>
      </c>
      <c r="H70" s="18">
        <f>IF(G70=10, 50, IF(G70=50, 100, IF(G70=100, 250, IF(G70=250, 500, IF(G70=500, 1000, IF(G70=1000, 2000, 0))))))</f>
        <v>100</v>
      </c>
      <c r="I70" s="18">
        <f>IF(G70=0,"DONE",G70-F70)</f>
        <v>8</v>
      </c>
      <c r="J70" s="20">
        <f>IF(G70=0,0,H70/I70+0.00001*(500-A70))</f>
        <v>12.504350000000001</v>
      </c>
      <c r="K70" s="27" t="s">
        <v>13</v>
      </c>
      <c r="L70" s="1"/>
      <c r="M70" s="1"/>
      <c r="N70" s="1"/>
      <c r="O70" s="1"/>
      <c r="P70" s="1"/>
      <c r="Q70" s="1"/>
      <c r="R70" s="1"/>
    </row>
    <row r="71" spans="1:18" ht="15" customHeight="1" x14ac:dyDescent="0.25">
      <c r="A71" s="22">
        <v>66</v>
      </c>
      <c r="B71" s="23" t="s">
        <v>141</v>
      </c>
      <c r="C71" s="24" t="s">
        <v>142</v>
      </c>
      <c r="D71" s="25">
        <v>3</v>
      </c>
      <c r="E71" s="26">
        <v>1</v>
      </c>
      <c r="F71" s="39">
        <v>45</v>
      </c>
      <c r="G71" s="18">
        <f>IF(F71&lt;10,10,IF(F71&lt;50,50,IF(F71&lt;100,100,IF(F71&lt;250,250,IF(F71&lt;500,500,IF(F71&lt;1000,1000,0))))))</f>
        <v>50</v>
      </c>
      <c r="H71" s="18">
        <f>IF(G71=10, 50, IF(G71=50, 100, IF(G71=100, 250, IF(G71=250, 500, IF(G71=500, 1000, IF(G71=1000, 2000, 0))))))</f>
        <v>100</v>
      </c>
      <c r="I71" s="18">
        <f>IF(G71=0,"DONE",G71-F71)</f>
        <v>5</v>
      </c>
      <c r="J71" s="20">
        <f>IF(G71=0,0,H71/I71+0.00001*(500-A71))</f>
        <v>20.004339999999999</v>
      </c>
      <c r="K71" s="27" t="s">
        <v>13</v>
      </c>
      <c r="L71" s="1"/>
      <c r="M71" s="1"/>
      <c r="N71" s="1"/>
      <c r="O71" s="1"/>
      <c r="P71" s="1"/>
      <c r="Q71" s="1"/>
      <c r="R71" s="1"/>
    </row>
    <row r="72" spans="1:18" ht="15" customHeight="1" x14ac:dyDescent="0.25">
      <c r="A72" s="22">
        <v>67</v>
      </c>
      <c r="B72" s="23" t="s">
        <v>143</v>
      </c>
      <c r="C72" s="24" t="s">
        <v>144</v>
      </c>
      <c r="D72" s="25">
        <v>3</v>
      </c>
      <c r="E72" s="26">
        <v>1</v>
      </c>
      <c r="F72" s="39">
        <v>75</v>
      </c>
      <c r="G72" s="18">
        <f>IF(F72&lt;10,10,IF(F72&lt;50,50,IF(F72&lt;100,100,IF(F72&lt;250,250,IF(F72&lt;500,500,IF(F72&lt;1000,1000,0))))))</f>
        <v>100</v>
      </c>
      <c r="H72" s="18">
        <f>IF(G72=10, 50, IF(G72=50, 100, IF(G72=100, 250, IF(G72=250, 500, IF(G72=500, 1000, IF(G72=1000, 2000, 0))))))</f>
        <v>250</v>
      </c>
      <c r="I72" s="18">
        <f>IF(G72=0,"DONE",G72-F72)</f>
        <v>25</v>
      </c>
      <c r="J72" s="20">
        <f>IF(G72=0,0,H72/I72+0.00001*(500-A72))</f>
        <v>10.00433</v>
      </c>
      <c r="K72" s="27" t="s">
        <v>13</v>
      </c>
      <c r="L72" s="1"/>
      <c r="M72" s="1"/>
      <c r="N72" s="1"/>
      <c r="O72" s="1"/>
      <c r="P72" s="1"/>
      <c r="Q72" s="1"/>
      <c r="R72" s="1"/>
    </row>
    <row r="73" spans="1:18" ht="15" customHeight="1" x14ac:dyDescent="0.25">
      <c r="A73" s="22">
        <v>68</v>
      </c>
      <c r="B73" s="23" t="s">
        <v>145</v>
      </c>
      <c r="C73" s="24" t="s">
        <v>146</v>
      </c>
      <c r="D73" s="25">
        <v>3</v>
      </c>
      <c r="E73" s="26">
        <v>0</v>
      </c>
      <c r="F73" s="39">
        <v>18</v>
      </c>
      <c r="G73" s="18">
        <f>IF(F73&lt;10,10,IF(F73&lt;50,50,IF(F73&lt;100,100,IF(F73&lt;250,250,IF(F73&lt;500,500,IF(F73&lt;1000,1000,0))))))</f>
        <v>50</v>
      </c>
      <c r="H73" s="18">
        <f>IF(G73=10, 50, IF(G73=50, 100, IF(G73=100, 250, IF(G73=250, 500, IF(G73=500, 1000, IF(G73=1000, 2000, 0))))))</f>
        <v>100</v>
      </c>
      <c r="I73" s="18">
        <f>IF(G73=0,"DONE",G73-F73)</f>
        <v>32</v>
      </c>
      <c r="J73" s="20">
        <f>IF(G73=0,0,H73/I73+0.00001*(500-A73))</f>
        <v>3.1293199999999999</v>
      </c>
      <c r="K73" s="27" t="s">
        <v>13</v>
      </c>
      <c r="L73" s="1"/>
      <c r="M73" s="1"/>
      <c r="N73" s="1"/>
      <c r="O73" s="1"/>
      <c r="P73" s="1"/>
      <c r="Q73" s="1"/>
      <c r="R73" s="1"/>
    </row>
    <row r="74" spans="1:18" ht="15" customHeight="1" x14ac:dyDescent="0.25">
      <c r="A74" s="22">
        <v>69</v>
      </c>
      <c r="B74" s="23" t="s">
        <v>147</v>
      </c>
      <c r="C74" s="24" t="s">
        <v>98</v>
      </c>
      <c r="D74" s="25">
        <v>3</v>
      </c>
      <c r="E74" s="26">
        <v>0</v>
      </c>
      <c r="F74" s="39">
        <v>20</v>
      </c>
      <c r="G74" s="18">
        <f>IF(F74&lt;10,10,IF(F74&lt;50,50,IF(F74&lt;100,100,IF(F74&lt;250,250,IF(F74&lt;500,500,IF(F74&lt;1000,1000,0))))))</f>
        <v>50</v>
      </c>
      <c r="H74" s="18">
        <f>IF(G74=10, 50, IF(G74=50, 100, IF(G74=100, 250, IF(G74=250, 500, IF(G74=500, 1000, IF(G74=1000, 2000, 0))))))</f>
        <v>100</v>
      </c>
      <c r="I74" s="18">
        <f>IF(G74=0,"DONE",G74-F74)</f>
        <v>30</v>
      </c>
      <c r="J74" s="20">
        <f>IF(G74=0,0,H74/I74+0.00001*(500-A74))</f>
        <v>3.3376433333333333</v>
      </c>
      <c r="K74" s="27" t="s">
        <v>13</v>
      </c>
      <c r="L74" s="1"/>
      <c r="M74" s="1"/>
      <c r="N74" s="1"/>
      <c r="O74" s="1"/>
      <c r="P74" s="1"/>
      <c r="Q74" s="1"/>
      <c r="R74" s="1"/>
    </row>
    <row r="75" spans="1:18" ht="15" customHeight="1" x14ac:dyDescent="0.25">
      <c r="A75" s="22">
        <v>70</v>
      </c>
      <c r="B75" s="23" t="s">
        <v>148</v>
      </c>
      <c r="C75" s="24" t="s">
        <v>149</v>
      </c>
      <c r="D75" s="25">
        <v>3</v>
      </c>
      <c r="E75" s="26">
        <v>1</v>
      </c>
      <c r="F75" s="39">
        <v>76</v>
      </c>
      <c r="G75" s="18">
        <f>IF(F75&lt;10,10,IF(F75&lt;50,50,IF(F75&lt;100,100,IF(F75&lt;250,250,IF(F75&lt;500,500,IF(F75&lt;1000,1000,0))))))</f>
        <v>100</v>
      </c>
      <c r="H75" s="18">
        <f>IF(G75=10, 50, IF(G75=50, 100, IF(G75=100, 250, IF(G75=250, 500, IF(G75=500, 1000, IF(G75=1000, 2000, 0))))))</f>
        <v>250</v>
      </c>
      <c r="I75" s="18">
        <f>IF(G75=0,"DONE",G75-F75)</f>
        <v>24</v>
      </c>
      <c r="J75" s="20">
        <f>IF(G75=0,0,H75/I75+0.00001*(500-A75))</f>
        <v>10.420966666666667</v>
      </c>
      <c r="K75" s="27" t="s">
        <v>13</v>
      </c>
      <c r="L75" s="1"/>
      <c r="M75" s="1"/>
      <c r="N75" s="1"/>
      <c r="O75" s="1"/>
      <c r="P75" s="1"/>
      <c r="Q75" s="1"/>
      <c r="R75" s="1"/>
    </row>
    <row r="76" spans="1:18" ht="15" customHeight="1" x14ac:dyDescent="0.25">
      <c r="A76" s="22">
        <v>71</v>
      </c>
      <c r="B76" s="23" t="s">
        <v>150</v>
      </c>
      <c r="C76" s="24" t="s">
        <v>151</v>
      </c>
      <c r="D76" s="25">
        <v>3</v>
      </c>
      <c r="E76" s="26">
        <v>0</v>
      </c>
      <c r="F76" s="39">
        <v>24</v>
      </c>
      <c r="G76" s="18">
        <f>IF(F76&lt;10,10,IF(F76&lt;50,50,IF(F76&lt;100,100,IF(F76&lt;250,250,IF(F76&lt;500,500,IF(F76&lt;1000,1000,IF(F76&lt;5000, 5000, 0)))))))</f>
        <v>50</v>
      </c>
      <c r="H76" s="18">
        <f>IF(G76=5, 5, IF(G76=10, 50, IF(G76=50, 100, IF(G76=100, 250, IF(G76=250, 500, IF(G76=500, 1000, IF(G76=1000, 2000, IF(G76=5000, 2000, 0))))))))</f>
        <v>100</v>
      </c>
      <c r="I76" s="18">
        <f>IF(G76=0,"DONE",G76-F76)</f>
        <v>26</v>
      </c>
      <c r="J76" s="20">
        <f>IF(G76=0,0,H76/I76+0.00001*(500-A76))</f>
        <v>3.8504438461538464</v>
      </c>
      <c r="K76" s="27" t="s">
        <v>13</v>
      </c>
      <c r="L76" s="1"/>
      <c r="M76" s="1"/>
      <c r="N76" s="1"/>
      <c r="O76" s="1"/>
      <c r="P76" s="1"/>
      <c r="Q76" s="1"/>
      <c r="R76" s="1"/>
    </row>
    <row r="77" spans="1:18" ht="15" customHeight="1" x14ac:dyDescent="0.25">
      <c r="A77" s="22">
        <v>72</v>
      </c>
      <c r="B77" s="23" t="s">
        <v>152</v>
      </c>
      <c r="C77" s="24" t="s">
        <v>153</v>
      </c>
      <c r="D77" s="25">
        <v>3</v>
      </c>
      <c r="E77" s="26">
        <v>0</v>
      </c>
      <c r="F77" s="39">
        <v>33</v>
      </c>
      <c r="G77" s="18">
        <f>IF(F77&lt;10,10,IF(F77&lt;50,50,IF(F77&lt;100,100,IF(F77&lt;250,250,IF(F77&lt;500,500,IF(F77&lt;1000,1000,IF(F77&lt;5000, 5000, 0)))))))</f>
        <v>50</v>
      </c>
      <c r="H77" s="18">
        <f>IF(G77=5, 5, IF(G77=10, 50, IF(G77=50, 100, IF(G77=100, 250, IF(G77=250, 500, IF(G77=500, 1000, IF(G77=1000, 2000, IF(G77=5000, 2000, 0))))))))</f>
        <v>100</v>
      </c>
      <c r="I77" s="18">
        <f>IF(G77=0,"DONE",G77-F77)</f>
        <v>17</v>
      </c>
      <c r="J77" s="20">
        <f>IF(G77=0,0,H77/I77+0.00001*(500-A77))</f>
        <v>5.8866329411764706</v>
      </c>
      <c r="K77" s="27" t="s">
        <v>13</v>
      </c>
      <c r="L77" s="1"/>
      <c r="M77" s="1"/>
      <c r="N77" s="1"/>
      <c r="O77" s="1"/>
      <c r="P77" s="1"/>
      <c r="Q77" s="1"/>
      <c r="R77" s="1"/>
    </row>
    <row r="78" spans="1:18" ht="15" customHeight="1" x14ac:dyDescent="0.25">
      <c r="A78" s="22">
        <v>73</v>
      </c>
      <c r="B78" s="23" t="s">
        <v>154</v>
      </c>
      <c r="C78" s="24" t="s">
        <v>155</v>
      </c>
      <c r="D78" s="25">
        <v>3</v>
      </c>
      <c r="E78" s="26">
        <v>0</v>
      </c>
      <c r="F78" s="39">
        <v>55</v>
      </c>
      <c r="G78" s="18">
        <f>IF(F78&lt;10,10,IF(F78&lt;50,50,IF(F78&lt;100,100,IF(F78&lt;250,250,IF(F78&lt;500,500,IF(F78&lt;1000,1000,IF(F78&lt;5000, 5000, 0)))))))</f>
        <v>100</v>
      </c>
      <c r="H78" s="18">
        <f>IF(G78=5, 5, IF(G78=10, 50, IF(G78=50, 100, IF(G78=100, 250, IF(G78=250, 500, IF(G78=500, 1000, IF(G78=1000, 2000, IF(G78=5000, 2000, 0))))))))</f>
        <v>250</v>
      </c>
      <c r="I78" s="18">
        <f>IF(G78=0,"DONE",G78-F78)</f>
        <v>45</v>
      </c>
      <c r="J78" s="20">
        <f>IF(G78=0,0,H78/I78+0.00001*(500-A78))</f>
        <v>5.5598255555555554</v>
      </c>
      <c r="K78" s="27" t="s">
        <v>13</v>
      </c>
      <c r="L78" s="1"/>
      <c r="M78" s="1"/>
      <c r="N78" s="1"/>
      <c r="O78" s="1"/>
      <c r="P78" s="1"/>
      <c r="Q78" s="1"/>
      <c r="R78" s="1"/>
    </row>
    <row r="79" spans="1:18" ht="15" customHeight="1" x14ac:dyDescent="0.25">
      <c r="A79" s="22">
        <v>74</v>
      </c>
      <c r="B79" s="23" t="s">
        <v>156</v>
      </c>
      <c r="C79" s="24" t="s">
        <v>157</v>
      </c>
      <c r="D79" s="25">
        <v>3</v>
      </c>
      <c r="E79" s="26">
        <v>1</v>
      </c>
      <c r="F79" s="39">
        <v>86</v>
      </c>
      <c r="G79" s="18">
        <f>IF(F79&lt;10,10,IF(F79&lt;50,50,IF(F79&lt;100,100,IF(F79&lt;250,250,IF(F79&lt;500,500,IF(F79&lt;1000,1000,IF(F79&lt;5000, 5000, 0)))))))</f>
        <v>100</v>
      </c>
      <c r="H79" s="18">
        <f>IF(G79=5, 5, IF(G79=10, 50, IF(G79=50, 100, IF(G79=100, 250, IF(G79=250, 500, IF(G79=500, 1000, IF(G79=1000, 2000, IF(G79=5000, 2000, 0))))))))</f>
        <v>250</v>
      </c>
      <c r="I79" s="18">
        <f>IF(G79=0,"DONE",G79-F79)</f>
        <v>14</v>
      </c>
      <c r="J79" s="20">
        <f>IF(G79=0,0,H79/I79+0.00001*(500-A79))</f>
        <v>17.861402857142856</v>
      </c>
      <c r="K79" s="27" t="s">
        <v>13</v>
      </c>
      <c r="L79" s="1"/>
      <c r="M79" s="1"/>
      <c r="N79" s="1"/>
      <c r="O79" s="1"/>
      <c r="P79" s="1"/>
      <c r="Q79" s="1"/>
      <c r="R79" s="1"/>
    </row>
    <row r="80" spans="1:18" ht="15" customHeight="1" x14ac:dyDescent="0.25">
      <c r="A80" s="22">
        <v>75</v>
      </c>
      <c r="B80" s="23" t="s">
        <v>158</v>
      </c>
      <c r="C80" s="24" t="s">
        <v>159</v>
      </c>
      <c r="D80" s="25">
        <v>3</v>
      </c>
      <c r="E80" s="26">
        <v>1</v>
      </c>
      <c r="F80" s="39">
        <v>88</v>
      </c>
      <c r="G80" s="18">
        <f>IF(F80&lt;10,10,IF(F80&lt;50,50,IF(F80&lt;100,100,IF(F80&lt;250,250,IF(F80&lt;500,500,IF(F80&lt;1000,1000,IF(F80&lt;5000, 5000, 0)))))))</f>
        <v>100</v>
      </c>
      <c r="H80" s="18">
        <f>IF(G80=5, 5, IF(G80=10, 50, IF(G80=50, 100, IF(G80=100, 250, IF(G80=250, 500, IF(G80=500, 1000, IF(G80=1000, 2000, IF(G80=5000, 2000, 0))))))))</f>
        <v>250</v>
      </c>
      <c r="I80" s="18">
        <f>IF(G80=0,"DONE",G80-F80)</f>
        <v>12</v>
      </c>
      <c r="J80" s="20">
        <f>IF(G80=0,0,H80/I80+0.00001*(500-A80))</f>
        <v>20.837583333333331</v>
      </c>
      <c r="K80" s="27" t="s">
        <v>13</v>
      </c>
      <c r="L80" s="1"/>
      <c r="M80" s="1"/>
      <c r="N80" s="1"/>
      <c r="O80" s="1"/>
      <c r="P80" s="1"/>
      <c r="Q80" s="1"/>
      <c r="R80" s="1"/>
    </row>
    <row r="81" spans="1:18" ht="15" customHeight="1" x14ac:dyDescent="0.25">
      <c r="A81" s="22">
        <v>76</v>
      </c>
      <c r="B81" s="23" t="s">
        <v>160</v>
      </c>
      <c r="C81" s="24" t="s">
        <v>161</v>
      </c>
      <c r="D81" s="25">
        <v>3</v>
      </c>
      <c r="E81" s="26">
        <v>0</v>
      </c>
      <c r="F81" s="39">
        <v>3</v>
      </c>
      <c r="G81" s="18">
        <f>IF(F81&lt;10,10,IF(F81&lt;50,50,IF(F81&lt;100,100,IF(F81&lt;250,250,IF(F81&lt;500,500,IF(F81&lt;1000,1000,IF(F81&lt;5000, 5000, 0)))))))</f>
        <v>10</v>
      </c>
      <c r="H81" s="18">
        <f>IF(G81=5, 5, IF(G81=10, 50, IF(G81=50, 100, IF(G81=100, 250, IF(G81=250, 500, IF(G81=500, 1000, IF(G81=1000, 2000, IF(G81=5000, 2000, 0))))))))</f>
        <v>50</v>
      </c>
      <c r="I81" s="18">
        <f>IF(G81=0,"DONE",G81-F81)</f>
        <v>7</v>
      </c>
      <c r="J81" s="20">
        <f>IF(G81=0,0,H81/I81+0.00001*(500-A81))</f>
        <v>7.1470971428571435</v>
      </c>
      <c r="K81" s="27" t="s">
        <v>13</v>
      </c>
      <c r="L81" s="1"/>
      <c r="M81" s="1"/>
      <c r="N81" s="1"/>
      <c r="O81" s="1"/>
      <c r="P81" s="1"/>
      <c r="Q81" s="1"/>
      <c r="R81" s="1"/>
    </row>
    <row r="82" spans="1:18" ht="15" customHeight="1" x14ac:dyDescent="0.25">
      <c r="A82" s="22">
        <v>77</v>
      </c>
      <c r="B82" s="23" t="s">
        <v>162</v>
      </c>
      <c r="C82" s="24" t="s">
        <v>163</v>
      </c>
      <c r="D82" s="25">
        <v>3</v>
      </c>
      <c r="E82" s="26">
        <v>1</v>
      </c>
      <c r="F82" s="39">
        <v>0</v>
      </c>
      <c r="G82" s="18">
        <f>IF(F82&lt;10,10,IF(F82&lt;50,50,IF(F82&lt;100,100,IF(F82&lt;250,250,IF(F82&lt;500,500,IF(F82&lt;1000,1000,IF(F82&lt;5000, 5000, 0)))))))</f>
        <v>10</v>
      </c>
      <c r="H82" s="18">
        <f>IF(G82=5, 5, IF(G82=10, 50, IF(G82=50, 100, IF(G82=100, 250, IF(G82=250, 500, IF(G82=500, 1000, IF(G82=1000, 2000, IF(G82=5000, 2000, 0))))))))</f>
        <v>50</v>
      </c>
      <c r="I82" s="18">
        <f>IF(G82=0,"DONE",G82-F82)</f>
        <v>10</v>
      </c>
      <c r="J82" s="20">
        <f>IF(G82=0,0,H82/I82+0.00001*(500-A82))</f>
        <v>5.0042299999999997</v>
      </c>
      <c r="K82" s="27" t="s">
        <v>58</v>
      </c>
      <c r="L82" s="1"/>
      <c r="M82" s="1"/>
      <c r="N82" s="1"/>
      <c r="O82" s="1"/>
      <c r="P82" s="1"/>
      <c r="Q82" s="1"/>
      <c r="R82" s="1"/>
    </row>
    <row r="83" spans="1:18" ht="15" customHeight="1" x14ac:dyDescent="0.25">
      <c r="A83" s="22">
        <v>78</v>
      </c>
      <c r="B83" s="23" t="s">
        <v>412</v>
      </c>
      <c r="C83" s="24" t="s">
        <v>164</v>
      </c>
      <c r="D83" s="25">
        <v>3</v>
      </c>
      <c r="E83" s="26">
        <v>0</v>
      </c>
      <c r="F83" s="39">
        <v>59</v>
      </c>
      <c r="G83" s="18">
        <f>IF(F83&lt;10,10,IF(F83&lt;50,50,IF(F83&lt;100,100,IF(F83&lt;250,250,IF(F83&lt;500,500,IF(F83&lt;1000,1000,IF(F83&lt;5000, 5000, 0)))))))</f>
        <v>100</v>
      </c>
      <c r="H83" s="18">
        <f>IF(G83=5, 5, IF(G83=10, 50, IF(G83=50, 100, IF(G83=100, 250, IF(G83=250, 500, IF(G83=500, 1000, IF(G83=1000, 2000, IF(G83=5000, 2000, 0))))))))</f>
        <v>250</v>
      </c>
      <c r="I83" s="18">
        <f>IF(G83=0,"DONE",G83-F83)</f>
        <v>41</v>
      </c>
      <c r="J83" s="20">
        <f>IF(G83=0,0,H83/I83+0.00001*(500-A83))</f>
        <v>6.1017809756097563</v>
      </c>
      <c r="K83" s="27" t="s">
        <v>13</v>
      </c>
      <c r="L83" s="1"/>
      <c r="M83" s="1"/>
      <c r="N83" s="1"/>
      <c r="O83" s="1"/>
      <c r="P83" s="1"/>
      <c r="Q83" s="1"/>
      <c r="R83" s="1"/>
    </row>
    <row r="84" spans="1:18" ht="15" customHeight="1" x14ac:dyDescent="0.25">
      <c r="A84" s="22">
        <v>79</v>
      </c>
      <c r="B84" s="23" t="s">
        <v>165</v>
      </c>
      <c r="C84" s="24" t="s">
        <v>140</v>
      </c>
      <c r="D84" s="25">
        <v>3</v>
      </c>
      <c r="E84" s="26">
        <v>0</v>
      </c>
      <c r="F84" s="39">
        <v>29</v>
      </c>
      <c r="G84" s="18">
        <f>IF(F84&lt;10,10,IF(F84&lt;50,50,IF(F84&lt;100,100,IF(F84&lt;250,250,IF(F84&lt;500,500,IF(F84&lt;1000,1000,IF(F84&lt;5000, 5000, 0)))))))</f>
        <v>50</v>
      </c>
      <c r="H84" s="18">
        <f>IF(G84=5, 5, IF(G84=10, 50, IF(G84=50, 100, IF(G84=100, 250, IF(G84=250, 500, IF(G84=500, 1000, IF(G84=1000, 2000, IF(G84=5000, 2000, 0))))))))</f>
        <v>100</v>
      </c>
      <c r="I84" s="18">
        <f>IF(G84=0,"DONE",G84-F84)</f>
        <v>21</v>
      </c>
      <c r="J84" s="20">
        <f>IF(G84=0,0,H84/I84+0.00001*(500-A84))</f>
        <v>4.7661147619047615</v>
      </c>
      <c r="K84" s="27" t="s">
        <v>58</v>
      </c>
      <c r="L84" s="1"/>
      <c r="M84" s="1"/>
      <c r="N84" s="1"/>
      <c r="O84" s="1"/>
      <c r="P84" s="1"/>
      <c r="Q84" s="1"/>
      <c r="R84" s="1"/>
    </row>
    <row r="85" spans="1:18" ht="15" customHeight="1" x14ac:dyDescent="0.25">
      <c r="A85" s="22">
        <v>80</v>
      </c>
      <c r="B85" s="23" t="s">
        <v>166</v>
      </c>
      <c r="C85" s="24" t="s">
        <v>167</v>
      </c>
      <c r="D85" s="25">
        <v>4</v>
      </c>
      <c r="E85" s="26">
        <v>1</v>
      </c>
      <c r="F85" s="39">
        <v>172</v>
      </c>
      <c r="G85" s="18">
        <f>IF(F85&lt;10,10,IF(F85&lt;50,50,IF(F85&lt;100,100,IF(F85&lt;250,250,IF(F85&lt;500,500,IF(F85&lt;1000,1000,0))))))</f>
        <v>250</v>
      </c>
      <c r="H85" s="18">
        <f>IF(G85=10, 50, IF(G85=50, 100, IF(G85=100, 250, IF(G85=250, 500, IF(G85=500, 1000, IF(G85=1000, 2000, 0))))))</f>
        <v>500</v>
      </c>
      <c r="I85" s="18">
        <f>IF(G85=0,"DONE",G85-F85)</f>
        <v>78</v>
      </c>
      <c r="J85" s="20">
        <f>IF(G85=0,0,H85/I85+0.00001*(500-A85))</f>
        <v>6.4144564102564106</v>
      </c>
      <c r="K85" s="27" t="s">
        <v>13</v>
      </c>
      <c r="L85" s="1"/>
      <c r="M85" s="1"/>
      <c r="N85" s="1"/>
      <c r="O85" s="1"/>
      <c r="P85" s="1"/>
      <c r="Q85" s="1"/>
      <c r="R85" s="1"/>
    </row>
    <row r="86" spans="1:18" ht="15" customHeight="1" x14ac:dyDescent="0.25">
      <c r="A86" s="22">
        <v>81</v>
      </c>
      <c r="B86" s="23" t="s">
        <v>168</v>
      </c>
      <c r="C86" s="24" t="s">
        <v>169</v>
      </c>
      <c r="D86" s="25">
        <v>4</v>
      </c>
      <c r="E86" s="26">
        <v>1</v>
      </c>
      <c r="F86" s="39">
        <v>215</v>
      </c>
      <c r="G86" s="18">
        <f>IF(F86&lt;10,10,IF(F86&lt;50,50,IF(F86&lt;100,100,IF(F86&lt;250,250,IF(F86&lt;500,500,IF(F86&lt;1000,1000,0))))))</f>
        <v>250</v>
      </c>
      <c r="H86" s="18">
        <f>IF(G86=10, 50, IF(G86=50, 100, IF(G86=100, 250, IF(G86=250, 500, IF(G86=500, 1000, IF(G86=1000, 2000, 0))))))</f>
        <v>500</v>
      </c>
      <c r="I86" s="18">
        <f>IF(G86=0,"DONE",G86-F86)</f>
        <v>35</v>
      </c>
      <c r="J86" s="20">
        <f>IF(G86=0,0,H86/I86+0.00001*(500-A86))</f>
        <v>14.289904285714286</v>
      </c>
      <c r="K86" s="27" t="s">
        <v>13</v>
      </c>
      <c r="L86" s="1"/>
      <c r="M86" s="1"/>
      <c r="N86" s="1"/>
      <c r="O86" s="1"/>
      <c r="P86" s="1"/>
      <c r="Q86" s="1"/>
      <c r="R86" s="1"/>
    </row>
    <row r="87" spans="1:18" ht="15" customHeight="1" x14ac:dyDescent="0.25">
      <c r="A87" s="22">
        <v>82</v>
      </c>
      <c r="B87" s="23" t="s">
        <v>170</v>
      </c>
      <c r="C87" s="24" t="s">
        <v>171</v>
      </c>
      <c r="D87" s="25">
        <v>4</v>
      </c>
      <c r="E87" s="26">
        <v>1</v>
      </c>
      <c r="F87" s="39">
        <v>189</v>
      </c>
      <c r="G87" s="18">
        <f>IF(F87&lt;10,10,IF(F87&lt;50,50,IF(F87&lt;100,100,IF(F87&lt;250,250,IF(F87&lt;500,500,IF(F87&lt;1000,1000,0))))))</f>
        <v>250</v>
      </c>
      <c r="H87" s="18">
        <f>IF(G87=10, 50, IF(G87=50, 100, IF(G87=100, 250, IF(G87=250, 500, IF(G87=500, 1000, IF(G87=1000, 2000, 0))))))</f>
        <v>500</v>
      </c>
      <c r="I87" s="18">
        <f>IF(G87=0,"DONE",G87-F87)</f>
        <v>61</v>
      </c>
      <c r="J87" s="20">
        <f>IF(G87=0,0,H87/I87+0.00001*(500-A87))</f>
        <v>8.200901311475409</v>
      </c>
      <c r="K87" s="27" t="s">
        <v>13</v>
      </c>
      <c r="L87" s="1"/>
      <c r="M87" s="1"/>
      <c r="N87" s="1"/>
      <c r="O87" s="1"/>
      <c r="P87" s="1"/>
      <c r="Q87" s="1"/>
      <c r="R87" s="1"/>
    </row>
    <row r="88" spans="1:18" ht="15" customHeight="1" x14ac:dyDescent="0.25">
      <c r="A88" s="22">
        <v>83</v>
      </c>
      <c r="B88" s="23" t="s">
        <v>172</v>
      </c>
      <c r="C88" s="24" t="s">
        <v>173</v>
      </c>
      <c r="D88" s="25">
        <v>4</v>
      </c>
      <c r="E88" s="26">
        <v>1</v>
      </c>
      <c r="F88" s="39">
        <v>145</v>
      </c>
      <c r="G88" s="18">
        <f>IF(F88&lt;10,10,IF(F88&lt;50,50,IF(F88&lt;100,100,IF(F88&lt;250,250,IF(F88&lt;500,500,IF(F88&lt;1000,1000,0))))))</f>
        <v>250</v>
      </c>
      <c r="H88" s="18">
        <f>IF(G88=10, 50, IF(G88=50, 100, IF(G88=100, 250, IF(G88=250, 500, IF(G88=500, 1000, IF(G88=1000, 2000, 0))))))</f>
        <v>500</v>
      </c>
      <c r="I88" s="18">
        <f>IF(G88=0,"DONE",G88-F88)</f>
        <v>105</v>
      </c>
      <c r="J88" s="20">
        <f>IF(G88=0,0,H88/I88+0.00001*(500-A88))</f>
        <v>4.7660747619047621</v>
      </c>
      <c r="K88" s="27" t="s">
        <v>13</v>
      </c>
      <c r="L88" s="1"/>
      <c r="M88" s="1"/>
      <c r="N88" s="1"/>
      <c r="O88" s="1"/>
      <c r="P88" s="1"/>
      <c r="Q88" s="1"/>
      <c r="R88" s="1"/>
    </row>
    <row r="89" spans="1:18" ht="15" customHeight="1" x14ac:dyDescent="0.25">
      <c r="A89" s="22">
        <v>84</v>
      </c>
      <c r="B89" s="23" t="s">
        <v>174</v>
      </c>
      <c r="C89" s="24" t="s">
        <v>175</v>
      </c>
      <c r="D89" s="25">
        <v>4</v>
      </c>
      <c r="E89" s="26">
        <v>1</v>
      </c>
      <c r="F89" s="39">
        <v>106</v>
      </c>
      <c r="G89" s="18">
        <f>IF(F89&lt;10,10,IF(F89&lt;50,50,IF(F89&lt;100,100,IF(F89&lt;250,250,IF(F89&lt;500,500,IF(F89&lt;1000,1000,0))))))</f>
        <v>250</v>
      </c>
      <c r="H89" s="18">
        <f>IF(G89=10, 50, IF(G89=50, 100, IF(G89=100, 250, IF(G89=250, 500, IF(G89=500, 1000, IF(G89=1000, 2000, 0))))))</f>
        <v>500</v>
      </c>
      <c r="I89" s="18">
        <f>IF(G89=0,"DONE",G89-F89)</f>
        <v>144</v>
      </c>
      <c r="J89" s="20">
        <f>IF(G89=0,0,H89/I89+0.00001*(500-A89))</f>
        <v>3.4763822222222225</v>
      </c>
      <c r="K89" s="27" t="s">
        <v>13</v>
      </c>
      <c r="L89" s="1"/>
      <c r="M89" s="1"/>
      <c r="N89" s="1"/>
      <c r="O89" s="1"/>
      <c r="P89" s="1"/>
      <c r="Q89" s="1"/>
      <c r="R89" s="1"/>
    </row>
    <row r="90" spans="1:18" ht="15" customHeight="1" x14ac:dyDescent="0.25">
      <c r="A90" s="22">
        <v>85</v>
      </c>
      <c r="B90" s="23" t="s">
        <v>176</v>
      </c>
      <c r="C90" s="24" t="s">
        <v>177</v>
      </c>
      <c r="D90" s="25">
        <v>4</v>
      </c>
      <c r="E90" s="26">
        <v>1</v>
      </c>
      <c r="F90" s="39">
        <v>142</v>
      </c>
      <c r="G90" s="18">
        <f>IF(F90&lt;10,10,IF(F90&lt;50,50,IF(F90&lt;100,100,IF(F90&lt;250,250,IF(F90&lt;500,500,IF(F90&lt;1000,1000,0))))))</f>
        <v>250</v>
      </c>
      <c r="H90" s="18">
        <f>IF(G90=10, 50, IF(G90=50, 100, IF(G90=100, 250, IF(G90=250, 500, IF(G90=500, 1000, IF(G90=1000, 2000, 0))))))</f>
        <v>500</v>
      </c>
      <c r="I90" s="18">
        <f>IF(G90=0,"DONE",G90-F90)</f>
        <v>108</v>
      </c>
      <c r="J90" s="20">
        <f>IF(G90=0,0,H90/I90+0.00001*(500-A90))</f>
        <v>4.6337796296296299</v>
      </c>
      <c r="K90" s="27" t="s">
        <v>13</v>
      </c>
      <c r="L90" s="1"/>
      <c r="M90" s="1"/>
      <c r="N90" s="1"/>
      <c r="O90" s="1"/>
      <c r="P90" s="1"/>
      <c r="Q90" s="1"/>
      <c r="R90" s="1"/>
    </row>
    <row r="91" spans="1:18" ht="15" customHeight="1" x14ac:dyDescent="0.25">
      <c r="A91" s="22">
        <v>86</v>
      </c>
      <c r="B91" s="23" t="s">
        <v>178</v>
      </c>
      <c r="C91" s="24" t="s">
        <v>179</v>
      </c>
      <c r="D91" s="25">
        <v>4</v>
      </c>
      <c r="E91" s="26">
        <v>1</v>
      </c>
      <c r="F91" s="39">
        <v>119</v>
      </c>
      <c r="G91" s="18">
        <f>IF(F91&lt;10,10,IF(F91&lt;50,50,IF(F91&lt;100,100,IF(F91&lt;250,250,IF(F91&lt;500,500,IF(F91&lt;1000,1000,0))))))</f>
        <v>250</v>
      </c>
      <c r="H91" s="18">
        <f>IF(G91=10, 50, IF(G91=50, 100, IF(G91=100, 250, IF(G91=250, 500, IF(G91=500, 1000, IF(G91=1000, 2000, 0))))))</f>
        <v>500</v>
      </c>
      <c r="I91" s="18">
        <f>IF(G91=0,"DONE",G91-F91)</f>
        <v>131</v>
      </c>
      <c r="J91" s="20">
        <f>IF(G91=0,0,H91/I91+0.00001*(500-A91))</f>
        <v>3.8209338931297712</v>
      </c>
      <c r="K91" s="27" t="s">
        <v>13</v>
      </c>
      <c r="L91" s="1"/>
      <c r="M91" s="1"/>
      <c r="N91" s="1"/>
      <c r="O91" s="1"/>
      <c r="P91" s="1"/>
      <c r="Q91" s="1"/>
      <c r="R91" s="1"/>
    </row>
    <row r="92" spans="1:18" ht="15" customHeight="1" x14ac:dyDescent="0.25">
      <c r="A92" s="22">
        <v>87</v>
      </c>
      <c r="B92" s="23" t="s">
        <v>180</v>
      </c>
      <c r="C92" s="24" t="s">
        <v>181</v>
      </c>
      <c r="D92" s="25">
        <v>4</v>
      </c>
      <c r="E92" s="26">
        <v>1</v>
      </c>
      <c r="F92" s="39">
        <v>120</v>
      </c>
      <c r="G92" s="18">
        <f>IF(F92&lt;10,10,IF(F92&lt;50,50,IF(F92&lt;100,100,IF(F92&lt;250,250,IF(F92&lt;500,500,IF(F92&lt;1000,1000,0))))))</f>
        <v>250</v>
      </c>
      <c r="H92" s="18">
        <f>IF(G92=10, 50, IF(G92=50, 100, IF(G92=100, 250, IF(G92=250, 500, IF(G92=500, 1000, IF(G92=1000, 2000, 0))))))</f>
        <v>500</v>
      </c>
      <c r="I92" s="18">
        <f>IF(G92=0,"DONE",G92-F92)</f>
        <v>130</v>
      </c>
      <c r="J92" s="20">
        <f>IF(G92=0,0,H92/I92+0.00001*(500-A92))</f>
        <v>3.8502838461538462</v>
      </c>
      <c r="K92" s="27" t="s">
        <v>13</v>
      </c>
      <c r="L92" s="1"/>
      <c r="M92" s="1"/>
      <c r="N92" s="1"/>
      <c r="O92" s="1"/>
      <c r="P92" s="1"/>
      <c r="Q92" s="1"/>
      <c r="R92" s="1"/>
    </row>
    <row r="93" spans="1:18" ht="15" customHeight="1" x14ac:dyDescent="0.25">
      <c r="A93" s="22">
        <v>88</v>
      </c>
      <c r="B93" s="23" t="s">
        <v>182</v>
      </c>
      <c r="C93" s="24" t="s">
        <v>183</v>
      </c>
      <c r="D93" s="25">
        <v>4</v>
      </c>
      <c r="E93" s="26">
        <v>1</v>
      </c>
      <c r="F93" s="39">
        <v>89</v>
      </c>
      <c r="G93" s="18">
        <f>IF(F93&lt;10,10,IF(F93&lt;50,50,IF(F93&lt;100,100,IF(F93&lt;250,250,IF(F93&lt;500,500,IF(F93&lt;1000,1000,0))))))</f>
        <v>100</v>
      </c>
      <c r="H93" s="18">
        <f>IF(G93=10, 50, IF(G93=50, 100, IF(G93=100, 250, IF(G93=250, 500, IF(G93=500, 1000, IF(G93=1000, 2000, 0))))))</f>
        <v>250</v>
      </c>
      <c r="I93" s="18">
        <f>IF(G93=0,"DONE",G93-F93)</f>
        <v>11</v>
      </c>
      <c r="J93" s="20">
        <f>IF(G93=0,0,H93/I93+0.00001*(500-A93))</f>
        <v>22.731392727272727</v>
      </c>
      <c r="K93" s="27" t="s">
        <v>13</v>
      </c>
      <c r="L93" s="1"/>
      <c r="M93" s="1"/>
      <c r="N93" s="1"/>
      <c r="O93" s="1"/>
      <c r="P93" s="1"/>
      <c r="Q93" s="1"/>
      <c r="R93" s="1"/>
    </row>
    <row r="94" spans="1:18" ht="15" customHeight="1" x14ac:dyDescent="0.25">
      <c r="A94" s="22">
        <v>89</v>
      </c>
      <c r="B94" s="23" t="s">
        <v>184</v>
      </c>
      <c r="C94" s="24" t="s">
        <v>185</v>
      </c>
      <c r="D94" s="25">
        <v>4</v>
      </c>
      <c r="E94" s="26">
        <v>1</v>
      </c>
      <c r="F94" s="39">
        <v>105</v>
      </c>
      <c r="G94" s="18">
        <f>IF(F94&lt;10,10,IF(F94&lt;50,50,IF(F94&lt;100,100,IF(F94&lt;250,250,IF(F94&lt;500,500,IF(F94&lt;1000,1000,0))))))</f>
        <v>250</v>
      </c>
      <c r="H94" s="18">
        <f>IF(G94=10, 50, IF(G94=50, 100, IF(G94=100, 250, IF(G94=250, 500, IF(G94=500, 1000, IF(G94=1000, 2000, 0))))))</f>
        <v>500</v>
      </c>
      <c r="I94" s="18">
        <f>IF(G94=0,"DONE",G94-F94)</f>
        <v>145</v>
      </c>
      <c r="J94" s="20">
        <f>IF(G94=0,0,H94/I94+0.00001*(500-A94))</f>
        <v>3.4523858620689651</v>
      </c>
      <c r="K94" s="27" t="s">
        <v>13</v>
      </c>
      <c r="L94" s="1"/>
      <c r="M94" s="1"/>
      <c r="N94" s="1"/>
      <c r="O94" s="1"/>
      <c r="P94" s="1"/>
      <c r="Q94" s="1"/>
      <c r="R94" s="1"/>
    </row>
    <row r="95" spans="1:18" ht="15" customHeight="1" x14ac:dyDescent="0.25">
      <c r="A95" s="22">
        <v>90</v>
      </c>
      <c r="B95" s="23" t="s">
        <v>186</v>
      </c>
      <c r="C95" s="24" t="s">
        <v>187</v>
      </c>
      <c r="D95" s="25">
        <v>4</v>
      </c>
      <c r="E95" s="26">
        <v>1</v>
      </c>
      <c r="F95" s="39">
        <v>102</v>
      </c>
      <c r="G95" s="18">
        <f>IF(F95&lt;10,10,IF(F95&lt;50,50,IF(F95&lt;100,100,IF(F95&lt;250,250,IF(F95&lt;500,500,IF(F95&lt;1000,1000,0))))))</f>
        <v>250</v>
      </c>
      <c r="H95" s="18">
        <f>IF(G95=10, 50, IF(G95=50, 100, IF(G95=100, 250, IF(G95=250, 500, IF(G95=500, 1000, IF(G95=1000, 2000, 0))))))</f>
        <v>500</v>
      </c>
      <c r="I95" s="18">
        <f>IF(G95=0,"DONE",G95-F95)</f>
        <v>148</v>
      </c>
      <c r="J95" s="20">
        <f>IF(G95=0,0,H95/I95+0.00001*(500-A95))</f>
        <v>3.3824783783783787</v>
      </c>
      <c r="K95" s="27" t="s">
        <v>13</v>
      </c>
      <c r="L95" s="1"/>
      <c r="M95" s="1"/>
      <c r="N95" s="1"/>
      <c r="O95" s="1"/>
      <c r="P95" s="1"/>
      <c r="Q95" s="1"/>
      <c r="R95" s="1"/>
    </row>
    <row r="96" spans="1:18" ht="15" customHeight="1" x14ac:dyDescent="0.25">
      <c r="A96" s="22">
        <v>91</v>
      </c>
      <c r="B96" s="23" t="s">
        <v>188</v>
      </c>
      <c r="C96" s="24" t="s">
        <v>187</v>
      </c>
      <c r="D96" s="25">
        <v>4</v>
      </c>
      <c r="E96" s="26">
        <v>1</v>
      </c>
      <c r="F96" s="39">
        <v>68</v>
      </c>
      <c r="G96" s="18">
        <f>IF(F96&lt;10,10,IF(F96&lt;50,50,IF(F96&lt;100,100,IF(F96&lt;250,250,IF(F96&lt;500,500,IF(F96&lt;1000,1000,0))))))</f>
        <v>100</v>
      </c>
      <c r="H96" s="18">
        <f>IF(G96=10, 50, IF(G96=50, 100, IF(G96=100, 250, IF(G96=250, 500, IF(G96=500, 1000, IF(G96=1000, 2000, 0))))))</f>
        <v>250</v>
      </c>
      <c r="I96" s="18">
        <f>IF(G96=0,"DONE",G96-F96)</f>
        <v>32</v>
      </c>
      <c r="J96" s="20">
        <f>IF(G96=0,0,H96/I96+0.00001*(500-A96))</f>
        <v>7.8165899999999997</v>
      </c>
      <c r="K96" s="27" t="s">
        <v>13</v>
      </c>
      <c r="L96" s="1"/>
      <c r="M96" s="1"/>
      <c r="N96" s="1"/>
      <c r="O96" s="1"/>
      <c r="P96" s="1"/>
      <c r="Q96" s="1"/>
      <c r="R96" s="1"/>
    </row>
    <row r="97" spans="1:18" ht="15" customHeight="1" x14ac:dyDescent="0.25">
      <c r="A97" s="22">
        <v>92</v>
      </c>
      <c r="B97" s="23" t="s">
        <v>189</v>
      </c>
      <c r="C97" s="24" t="s">
        <v>190</v>
      </c>
      <c r="D97" s="25">
        <v>4</v>
      </c>
      <c r="E97" s="26">
        <v>1</v>
      </c>
      <c r="F97" s="39">
        <v>177</v>
      </c>
      <c r="G97" s="18">
        <f>IF(F97&lt;10,10,IF(F97&lt;50,50,IF(F97&lt;100,100,IF(F97&lt;250,250,IF(F97&lt;500,500,IF(F97&lt;1000,1000,0))))))</f>
        <v>250</v>
      </c>
      <c r="H97" s="18">
        <f>IF(G97=10, 50, IF(G97=50, 100, IF(G97=100, 250, IF(G97=250, 500, IF(G97=500, 1000, IF(G97=1000, 2000, 0))))))</f>
        <v>500</v>
      </c>
      <c r="I97" s="18">
        <f>IF(G97=0,"DONE",G97-F97)</f>
        <v>73</v>
      </c>
      <c r="J97" s="20">
        <f>IF(G97=0,0,H97/I97+0.00001*(500-A97))</f>
        <v>6.8533950684931506</v>
      </c>
      <c r="K97" s="27" t="s">
        <v>13</v>
      </c>
      <c r="L97" s="1"/>
      <c r="M97" s="1"/>
      <c r="N97" s="1"/>
      <c r="O97" s="1"/>
      <c r="P97" s="1"/>
      <c r="Q97" s="1"/>
      <c r="R97" s="1"/>
    </row>
    <row r="98" spans="1:18" ht="15" customHeight="1" x14ac:dyDescent="0.25">
      <c r="A98" s="22">
        <v>93</v>
      </c>
      <c r="B98" s="23" t="s">
        <v>191</v>
      </c>
      <c r="C98" s="24" t="s">
        <v>192</v>
      </c>
      <c r="D98" s="25">
        <v>4</v>
      </c>
      <c r="E98" s="26">
        <v>1</v>
      </c>
      <c r="F98" s="39">
        <v>71</v>
      </c>
      <c r="G98" s="18">
        <f>IF(F98&lt;10,10,IF(F98&lt;50,50,IF(F98&lt;100,100,IF(F98&lt;250,250,IF(F98&lt;500,500,IF(F98&lt;1000,1000,0))))))</f>
        <v>100</v>
      </c>
      <c r="H98" s="18">
        <f>IF(G98=10, 50, IF(G98=50, 100, IF(G98=100, 250, IF(G98=250, 500, IF(G98=500, 1000, IF(G98=1000, 2000, 0))))))</f>
        <v>250</v>
      </c>
      <c r="I98" s="18">
        <f>IF(G98=0,"DONE",G98-F98)</f>
        <v>29</v>
      </c>
      <c r="J98" s="20">
        <f>IF(G98=0,0,H98/I98+0.00001*(500-A98))</f>
        <v>8.6247596551724151</v>
      </c>
      <c r="K98" s="27" t="s">
        <v>13</v>
      </c>
      <c r="L98" s="1"/>
      <c r="M98" s="1"/>
      <c r="N98" s="1"/>
      <c r="O98" s="1"/>
      <c r="P98" s="1"/>
      <c r="Q98" s="1"/>
      <c r="R98" s="1"/>
    </row>
    <row r="99" spans="1:18" ht="15" customHeight="1" x14ac:dyDescent="0.25">
      <c r="A99" s="22">
        <v>94</v>
      </c>
      <c r="B99" s="23" t="s">
        <v>193</v>
      </c>
      <c r="C99" s="24" t="s">
        <v>194</v>
      </c>
      <c r="D99" s="25">
        <v>4</v>
      </c>
      <c r="E99" s="26">
        <v>1</v>
      </c>
      <c r="F99" s="39">
        <v>25</v>
      </c>
      <c r="G99" s="18">
        <f>IF(F99&lt;10,10,IF(F99&lt;50,50,IF(F99&lt;100,100,IF(F99&lt;250,250,IF(F99&lt;500,500,IF(F99&lt;1000,1000,0))))))</f>
        <v>50</v>
      </c>
      <c r="H99" s="18">
        <f>IF(G99=10, 50, IF(G99=50, 100, IF(G99=100, 250, IF(G99=250, 500, IF(G99=500, 1000, IF(G99=1000, 2000, 0))))))</f>
        <v>100</v>
      </c>
      <c r="I99" s="18">
        <f>IF(G99=0,"DONE",G99-F99)</f>
        <v>25</v>
      </c>
      <c r="J99" s="20">
        <f>IF(G99=0,0,H99/I99+0.00001*(500-A99))</f>
        <v>4.00406</v>
      </c>
      <c r="K99" s="27" t="s">
        <v>13</v>
      </c>
      <c r="L99" s="1"/>
      <c r="M99" s="1"/>
      <c r="N99" s="1"/>
      <c r="O99" s="1"/>
      <c r="P99" s="1"/>
      <c r="Q99" s="1"/>
      <c r="R99" s="1"/>
    </row>
    <row r="100" spans="1:18" ht="15" customHeight="1" x14ac:dyDescent="0.25">
      <c r="A100" s="22">
        <v>95</v>
      </c>
      <c r="B100" s="23" t="s">
        <v>195</v>
      </c>
      <c r="C100" s="24" t="s">
        <v>196</v>
      </c>
      <c r="D100" s="25">
        <v>4</v>
      </c>
      <c r="E100" s="26">
        <v>1</v>
      </c>
      <c r="F100" s="39">
        <v>70</v>
      </c>
      <c r="G100" s="18">
        <f>IF(F100&lt;10,10,IF(F100&lt;50,50,IF(F100&lt;100,100,IF(F100&lt;250,250,IF(F100&lt;500,500,IF(F100&lt;1000,1000,0))))))</f>
        <v>100</v>
      </c>
      <c r="H100" s="18">
        <f>IF(G100=10, 50, IF(G100=50, 100, IF(G100=100, 250, IF(G100=250, 500, IF(G100=500, 1000, IF(G100=1000, 2000, 0))))))</f>
        <v>250</v>
      </c>
      <c r="I100" s="18">
        <f>IF(G100=0,"DONE",G100-F100)</f>
        <v>30</v>
      </c>
      <c r="J100" s="20">
        <f>IF(G100=0,0,H100/I100+0.00001*(500-A100))</f>
        <v>8.3373833333333334</v>
      </c>
      <c r="K100" s="27" t="s">
        <v>13</v>
      </c>
      <c r="L100" s="1"/>
      <c r="M100" s="1"/>
      <c r="N100" s="1"/>
      <c r="O100" s="1"/>
      <c r="P100" s="1"/>
      <c r="Q100" s="1"/>
      <c r="R100" s="1"/>
    </row>
    <row r="101" spans="1:18" ht="15" customHeight="1" x14ac:dyDescent="0.25">
      <c r="A101" s="22">
        <v>96</v>
      </c>
      <c r="B101" s="23" t="s">
        <v>197</v>
      </c>
      <c r="C101" s="24" t="s">
        <v>198</v>
      </c>
      <c r="D101" s="25">
        <v>4</v>
      </c>
      <c r="E101" s="26">
        <v>1</v>
      </c>
      <c r="F101" s="39">
        <v>34</v>
      </c>
      <c r="G101" s="18">
        <f>IF(F101&lt;10,10,IF(F101&lt;50,50,IF(F101&lt;100,100,IF(F101&lt;250,250,IF(F101&lt;500,500,IF(F101&lt;1000,1000,0))))))</f>
        <v>50</v>
      </c>
      <c r="H101" s="18">
        <f>IF(G101=10, 50, IF(G101=50, 100, IF(G101=100, 250, IF(G101=250, 500, IF(G101=500, 1000, IF(G101=1000, 2000, 0))))))</f>
        <v>100</v>
      </c>
      <c r="I101" s="18">
        <f>IF(G101=0,"DONE",G101-F101)</f>
        <v>16</v>
      </c>
      <c r="J101" s="20">
        <f>IF(G101=0,0,H101/I101+0.00001*(500-A101))</f>
        <v>6.2540399999999998</v>
      </c>
      <c r="K101" s="27" t="s">
        <v>13</v>
      </c>
      <c r="L101" s="1"/>
      <c r="M101" s="1"/>
      <c r="N101" s="1"/>
      <c r="O101" s="1"/>
      <c r="P101" s="1"/>
      <c r="Q101" s="1"/>
      <c r="R101" s="1"/>
    </row>
    <row r="102" spans="1:18" ht="15" customHeight="1" x14ac:dyDescent="0.25">
      <c r="A102" s="22">
        <v>97</v>
      </c>
      <c r="B102" s="23" t="s">
        <v>199</v>
      </c>
      <c r="C102" s="24" t="s">
        <v>200</v>
      </c>
      <c r="D102" s="25">
        <v>4</v>
      </c>
      <c r="E102" s="26">
        <v>0</v>
      </c>
      <c r="F102" s="39">
        <v>22</v>
      </c>
      <c r="G102" s="18">
        <f>IF(F102&lt;10,10,IF(F102&lt;50,50,IF(F102&lt;100,100,IF(F102&lt;250,250,IF(F102&lt;500,500,IF(F102&lt;1000,1000,0))))))</f>
        <v>50</v>
      </c>
      <c r="H102" s="18">
        <f>IF(G102=10, 50, IF(G102=50, 100, IF(G102=100, 250, IF(G102=250, 500, IF(G102=500, 1000, IF(G102=1000, 2000, 0))))))</f>
        <v>100</v>
      </c>
      <c r="I102" s="18">
        <f>IF(G102=0,"DONE",G102-F102)</f>
        <v>28</v>
      </c>
      <c r="J102" s="20">
        <f>IF(G102=0,0,H102/I102+0.00001*(500-A102))</f>
        <v>3.5754585714285718</v>
      </c>
      <c r="K102" s="27" t="s">
        <v>13</v>
      </c>
      <c r="L102" s="1"/>
      <c r="M102" s="1"/>
      <c r="N102" s="1"/>
      <c r="O102" s="1"/>
      <c r="P102" s="1"/>
      <c r="Q102" s="1"/>
      <c r="R102" s="1"/>
    </row>
    <row r="103" spans="1:18" ht="15" customHeight="1" x14ac:dyDescent="0.25">
      <c r="A103" s="22">
        <v>98</v>
      </c>
      <c r="B103" s="23" t="s">
        <v>201</v>
      </c>
      <c r="C103" s="24" t="s">
        <v>202</v>
      </c>
      <c r="D103" s="25">
        <v>4</v>
      </c>
      <c r="E103" s="26">
        <v>1</v>
      </c>
      <c r="F103" s="39">
        <v>29</v>
      </c>
      <c r="G103" s="18">
        <f>IF(F103&lt;10,10,IF(F103&lt;50,50,IF(F103&lt;100,100,IF(F103&lt;250,250,IF(F103&lt;500,500,IF(F103&lt;1000,1000,0))))))</f>
        <v>50</v>
      </c>
      <c r="H103" s="18">
        <f>IF(G103=10, 50, IF(G103=50, 100, IF(G103=100, 250, IF(G103=250, 500, IF(G103=500, 1000, IF(G103=1000, 2000, 0))))))</f>
        <v>100</v>
      </c>
      <c r="I103" s="18">
        <f>IF(G103=0,"DONE",G103-F103)</f>
        <v>21</v>
      </c>
      <c r="J103" s="20">
        <f>IF(G103=0,0,H103/I103+0.00001*(500-A103))</f>
        <v>4.7659247619047616</v>
      </c>
      <c r="K103" s="27" t="s">
        <v>13</v>
      </c>
      <c r="L103" s="1"/>
      <c r="M103" s="1"/>
      <c r="N103" s="1"/>
      <c r="O103" s="1"/>
      <c r="P103" s="1"/>
      <c r="Q103" s="1"/>
      <c r="R103" s="1"/>
    </row>
    <row r="104" spans="1:18" ht="15" customHeight="1" x14ac:dyDescent="0.25">
      <c r="A104" s="22">
        <v>99</v>
      </c>
      <c r="B104" s="23" t="s">
        <v>203</v>
      </c>
      <c r="C104" s="24" t="s">
        <v>204</v>
      </c>
      <c r="D104" s="25">
        <v>4</v>
      </c>
      <c r="E104" s="26">
        <v>0</v>
      </c>
      <c r="F104" s="39">
        <v>18</v>
      </c>
      <c r="G104" s="18">
        <f>IF(F104&lt;10,10,IF(F104&lt;50,50,IF(F104&lt;100,100,IF(F104&lt;250,250,IF(F104&lt;500,500,IF(F104&lt;1000,1000,0))))))</f>
        <v>50</v>
      </c>
      <c r="H104" s="18">
        <f>IF(G104=10, 50, IF(G104=50, 100, IF(G104=100, 250, IF(G104=250, 500, IF(G104=500, 1000, IF(G104=1000, 2000, 0))))))</f>
        <v>100</v>
      </c>
      <c r="I104" s="18">
        <f>IF(G104=0,"DONE",G104-F104)</f>
        <v>32</v>
      </c>
      <c r="J104" s="20">
        <f>IF(G104=0,0,H104/I104+0.00001*(500-A104))</f>
        <v>3.1290100000000001</v>
      </c>
      <c r="K104" s="27" t="s">
        <v>13</v>
      </c>
      <c r="L104" s="1"/>
      <c r="M104" s="1"/>
      <c r="N104" s="1"/>
      <c r="O104" s="1"/>
      <c r="P104" s="1"/>
      <c r="Q104" s="1"/>
      <c r="R104" s="1"/>
    </row>
    <row r="105" spans="1:18" ht="15" customHeight="1" x14ac:dyDescent="0.25">
      <c r="A105" s="22">
        <v>100</v>
      </c>
      <c r="B105" s="23" t="s">
        <v>205</v>
      </c>
      <c r="C105" s="24" t="s">
        <v>206</v>
      </c>
      <c r="D105" s="25">
        <v>4</v>
      </c>
      <c r="E105" s="26">
        <v>0</v>
      </c>
      <c r="F105" s="39">
        <v>9</v>
      </c>
      <c r="G105" s="18">
        <f>IF(F105&lt;10,10,IF(F105&lt;50,50,IF(F105&lt;100,100,IF(F105&lt;250,250,IF(F105&lt;500,500,IF(F105&lt;1000,1000,0))))))</f>
        <v>10</v>
      </c>
      <c r="H105" s="18">
        <f>IF(G105=10, 50, IF(G105=50, 100, IF(G105=100, 250, IF(G105=250, 500, IF(G105=500, 1000, IF(G105=1000, 2000, 0))))))</f>
        <v>50</v>
      </c>
      <c r="I105" s="18">
        <f>IF(G105=0,"DONE",G105-F105)</f>
        <v>1</v>
      </c>
      <c r="J105" s="20">
        <f>IF(G105=0,0,H105/I105+0.00001*(500-A105))</f>
        <v>50.003999999999998</v>
      </c>
      <c r="K105" s="27" t="s">
        <v>13</v>
      </c>
      <c r="L105" s="1"/>
      <c r="M105" s="1"/>
      <c r="N105" s="1"/>
      <c r="O105" s="1"/>
      <c r="P105" s="1"/>
      <c r="Q105" s="1"/>
      <c r="R105" s="1"/>
    </row>
    <row r="106" spans="1:18" ht="15" customHeight="1" x14ac:dyDescent="0.25">
      <c r="A106" s="22">
        <v>101</v>
      </c>
      <c r="B106" s="23" t="s">
        <v>207</v>
      </c>
      <c r="C106" s="24" t="s">
        <v>208</v>
      </c>
      <c r="D106" s="25">
        <v>4</v>
      </c>
      <c r="E106" s="26">
        <v>0</v>
      </c>
      <c r="F106" s="39">
        <v>32</v>
      </c>
      <c r="G106" s="18">
        <f>IF(F106&lt;10,10,IF(F106&lt;50,50,IF(F106&lt;100,100,IF(F106&lt;250,250,IF(F106&lt;500,500,IF(F106&lt;1000,1000,0))))))</f>
        <v>50</v>
      </c>
      <c r="H106" s="18">
        <f>IF(G106=10, 50, IF(G106=50, 100, IF(G106=100, 250, IF(G106=250, 500, IF(G106=500, 1000, IF(G106=1000, 2000, 0))))))</f>
        <v>100</v>
      </c>
      <c r="I106" s="18">
        <f>IF(G106=0,"DONE",G106-F106)</f>
        <v>18</v>
      </c>
      <c r="J106" s="20">
        <f>IF(G106=0,0,H106/I106+0.00001*(500-A106))</f>
        <v>5.5595455555555553</v>
      </c>
      <c r="K106" s="27" t="s">
        <v>13</v>
      </c>
      <c r="L106" s="1"/>
      <c r="M106" s="1"/>
      <c r="N106" s="1"/>
      <c r="O106" s="1"/>
      <c r="P106" s="1"/>
      <c r="Q106" s="1"/>
      <c r="R106" s="1"/>
    </row>
    <row r="107" spans="1:18" ht="15" customHeight="1" x14ac:dyDescent="0.25">
      <c r="A107" s="22">
        <v>102</v>
      </c>
      <c r="B107" s="23" t="s">
        <v>209</v>
      </c>
      <c r="C107" s="24" t="s">
        <v>210</v>
      </c>
      <c r="D107" s="25">
        <v>4</v>
      </c>
      <c r="E107" s="26">
        <v>0</v>
      </c>
      <c r="F107" s="39">
        <v>21</v>
      </c>
      <c r="G107" s="18">
        <f>IF(F107&lt;10,10,IF(F107&lt;50,50,IF(F107&lt;100,100,IF(F107&lt;250,250,IF(F107&lt;500,500,IF(F107&lt;1000,1000,IF(F107&lt;5000, 5000, 0)))))))</f>
        <v>50</v>
      </c>
      <c r="H107" s="18">
        <f>IF(G107=5, 5, IF(G107=10, 50, IF(G107=50, 100, IF(G107=100, 250, IF(G107=250, 500, IF(G107=500, 1000, IF(G107=1000, 2000, IF(G107=5000, 2000, 0))))))))</f>
        <v>100</v>
      </c>
      <c r="I107" s="18">
        <f>IF(G107=0,"DONE",G107-F107)</f>
        <v>29</v>
      </c>
      <c r="J107" s="20">
        <f>IF(G107=0,0,H107/I107+0.00001*(500-A107))</f>
        <v>3.4522558620689652</v>
      </c>
      <c r="K107" s="27" t="s">
        <v>13</v>
      </c>
      <c r="L107" s="1"/>
      <c r="M107" s="1"/>
      <c r="N107" s="1"/>
      <c r="O107" s="1"/>
      <c r="P107" s="1"/>
      <c r="Q107" s="1"/>
      <c r="R107" s="1"/>
    </row>
    <row r="108" spans="1:18" ht="15" customHeight="1" x14ac:dyDescent="0.25">
      <c r="A108" s="22">
        <v>103</v>
      </c>
      <c r="B108" s="23" t="s">
        <v>211</v>
      </c>
      <c r="C108" s="24" t="s">
        <v>212</v>
      </c>
      <c r="D108" s="25">
        <v>4</v>
      </c>
      <c r="E108" s="26">
        <v>0</v>
      </c>
      <c r="F108" s="39">
        <v>65</v>
      </c>
      <c r="G108" s="18">
        <f>IF(F108&lt;10,10,IF(F108&lt;50,50,IF(F108&lt;100,100,IF(F108&lt;250,250,IF(F108&lt;500,500,IF(F108&lt;1000,1000,IF(F108&lt;5000, 5000, 0)))))))</f>
        <v>100</v>
      </c>
      <c r="H108" s="18">
        <f>IF(G108=5, 5, IF(G108=10, 50, IF(G108=50, 100, IF(G108=100, 250, IF(G108=250, 500, IF(G108=500, 1000, IF(G108=1000, 2000, IF(G108=5000, 2000, 0))))))))</f>
        <v>250</v>
      </c>
      <c r="I108" s="18">
        <f>IF(G108=0,"DONE",G108-F108)</f>
        <v>35</v>
      </c>
      <c r="J108" s="20">
        <f>IF(G108=0,0,H108/I108+0.00001*(500-A108))</f>
        <v>7.146827142857143</v>
      </c>
      <c r="K108" s="27" t="s">
        <v>13</v>
      </c>
      <c r="L108" s="1"/>
      <c r="M108" s="1"/>
      <c r="N108" s="1"/>
      <c r="O108" s="1"/>
      <c r="P108" s="1"/>
      <c r="Q108" s="1"/>
      <c r="R108" s="1"/>
    </row>
    <row r="109" spans="1:18" ht="15" customHeight="1" x14ac:dyDescent="0.25">
      <c r="A109" s="22">
        <v>104</v>
      </c>
      <c r="B109" s="23" t="s">
        <v>213</v>
      </c>
      <c r="C109" s="24" t="s">
        <v>214</v>
      </c>
      <c r="D109" s="25">
        <v>4</v>
      </c>
      <c r="E109" s="26">
        <v>1</v>
      </c>
      <c r="F109" s="39">
        <v>40</v>
      </c>
      <c r="G109" s="18">
        <f>IF(F109&lt;10,10,IF(F109&lt;50,50,IF(F109&lt;100,100,IF(F109&lt;250,250,IF(F109&lt;500,500,IF(F109&lt;1000,1000,IF(F109&lt;5000, 5000, 0)))))))</f>
        <v>50</v>
      </c>
      <c r="H109" s="18">
        <f>IF(G109=5, 5, IF(G109=10, 50, IF(G109=50, 100, IF(G109=100, 250, IF(G109=250, 500, IF(G109=500, 1000, IF(G109=1000, 2000, IF(G109=5000, 2000, 0))))))))</f>
        <v>100</v>
      </c>
      <c r="I109" s="18">
        <f>IF(G109=0,"DONE",G109-F109)</f>
        <v>10</v>
      </c>
      <c r="J109" s="20">
        <f>IF(G109=0,0,H109/I109+0.00001*(500-A109))</f>
        <v>10.003959999999999</v>
      </c>
      <c r="K109" s="27" t="s">
        <v>13</v>
      </c>
      <c r="L109" s="1"/>
      <c r="M109" s="1"/>
      <c r="N109" s="1"/>
      <c r="O109" s="1"/>
      <c r="P109" s="1"/>
      <c r="Q109" s="1"/>
      <c r="R109" s="1"/>
    </row>
    <row r="110" spans="1:18" ht="15" customHeight="1" x14ac:dyDescent="0.25">
      <c r="A110" s="22">
        <v>105</v>
      </c>
      <c r="B110" s="23" t="s">
        <v>215</v>
      </c>
      <c r="C110" s="24" t="s">
        <v>216</v>
      </c>
      <c r="D110" s="25">
        <v>4</v>
      </c>
      <c r="E110" s="26">
        <v>0</v>
      </c>
      <c r="F110" s="39">
        <v>17</v>
      </c>
      <c r="G110" s="18">
        <f>IF(F110&lt;10,10,IF(F110&lt;50,50,IF(F110&lt;100,100,IF(F110&lt;250,250,IF(F110&lt;500,500,IF(F110&lt;1000,1000,IF(F110&lt;5000, 5000, 0)))))))</f>
        <v>50</v>
      </c>
      <c r="H110" s="18">
        <f>IF(G110=5, 5, IF(G110=10, 50, IF(G110=50, 100, IF(G110=100, 250, IF(G110=250, 500, IF(G110=500, 1000, IF(G110=1000, 2000, IF(G110=5000, 2000, 0))))))))</f>
        <v>100</v>
      </c>
      <c r="I110" s="18">
        <f>IF(G110=0,"DONE",G110-F110)</f>
        <v>33</v>
      </c>
      <c r="J110" s="20">
        <f>IF(G110=0,0,H110/I110+0.00001*(500-A110))</f>
        <v>3.0342530303030304</v>
      </c>
      <c r="K110" s="27" t="s">
        <v>13</v>
      </c>
      <c r="L110" s="1"/>
      <c r="M110" s="1"/>
      <c r="N110" s="1"/>
      <c r="O110" s="1"/>
      <c r="P110" s="1"/>
      <c r="Q110" s="1"/>
      <c r="R110" s="1"/>
    </row>
    <row r="111" spans="1:18" ht="15" customHeight="1" x14ac:dyDescent="0.25">
      <c r="A111" s="22">
        <v>106</v>
      </c>
      <c r="B111" s="23" t="s">
        <v>217</v>
      </c>
      <c r="C111" s="24" t="s">
        <v>218</v>
      </c>
      <c r="D111" s="25">
        <v>4</v>
      </c>
      <c r="E111" s="26">
        <v>1</v>
      </c>
      <c r="F111" s="39">
        <v>48</v>
      </c>
      <c r="G111" s="18">
        <f>IF(F111&lt;10,10,IF(F111&lt;50,50,IF(F111&lt;100,100,IF(F111&lt;250,250,IF(F111&lt;500,500,IF(F111&lt;1000,1000,IF(F111&lt;5000, 5000, 0)))))))</f>
        <v>50</v>
      </c>
      <c r="H111" s="18">
        <f>IF(G111=5, 5, IF(G111=10, 50, IF(G111=50, 100, IF(G111=100, 250, IF(G111=250, 500, IF(G111=500, 1000, IF(G111=1000, 2000, IF(G111=5000, 2000, 0))))))))</f>
        <v>100</v>
      </c>
      <c r="I111" s="18">
        <f>IF(G111=0,"DONE",G111-F111)</f>
        <v>2</v>
      </c>
      <c r="J111" s="20">
        <f>IF(G111=0,0,H111/I111+0.00001*(500-A111))</f>
        <v>50.00394</v>
      </c>
      <c r="K111" s="27" t="s">
        <v>13</v>
      </c>
      <c r="L111" s="1"/>
      <c r="M111" s="1"/>
      <c r="N111" s="1"/>
      <c r="O111" s="1"/>
      <c r="P111" s="1"/>
      <c r="Q111" s="1"/>
      <c r="R111" s="1"/>
    </row>
    <row r="112" spans="1:18" ht="15" customHeight="1" x14ac:dyDescent="0.25">
      <c r="A112" s="22">
        <v>107</v>
      </c>
      <c r="B112" s="23" t="s">
        <v>219</v>
      </c>
      <c r="C112" s="24" t="s">
        <v>220</v>
      </c>
      <c r="D112" s="25">
        <v>4</v>
      </c>
      <c r="E112" s="26">
        <v>0</v>
      </c>
      <c r="F112" s="39">
        <v>44</v>
      </c>
      <c r="G112" s="18">
        <f>IF(F112&lt;10,10,IF(F112&lt;50,50,IF(F112&lt;100,100,IF(F112&lt;250,250,IF(F112&lt;500,500,IF(F112&lt;1000,1000,IF(F112&lt;5000, 5000, 0)))))))</f>
        <v>50</v>
      </c>
      <c r="H112" s="18">
        <f>IF(G112=5, 5, IF(G112=10, 50, IF(G112=50, 100, IF(G112=100, 250, IF(G112=250, 500, IF(G112=500, 1000, IF(G112=1000, 2000, IF(G112=5000, 2000, 0))))))))</f>
        <v>100</v>
      </c>
      <c r="I112" s="18">
        <f>IF(G112=0,"DONE",G112-F112)</f>
        <v>6</v>
      </c>
      <c r="J112" s="20">
        <f>IF(G112=0,0,H112/I112+0.00001*(500-A112))</f>
        <v>16.670596666666668</v>
      </c>
      <c r="K112" s="27" t="s">
        <v>13</v>
      </c>
      <c r="L112" s="1"/>
      <c r="M112" s="1"/>
      <c r="N112" s="1"/>
      <c r="O112" s="1"/>
      <c r="P112" s="1"/>
      <c r="Q112" s="1"/>
      <c r="R112" s="1"/>
    </row>
    <row r="113" spans="1:18" ht="15" customHeight="1" x14ac:dyDescent="0.25">
      <c r="A113" s="22">
        <v>108</v>
      </c>
      <c r="B113" s="23" t="s">
        <v>221</v>
      </c>
      <c r="C113" s="24" t="s">
        <v>222</v>
      </c>
      <c r="D113" s="25">
        <v>4</v>
      </c>
      <c r="E113" s="26">
        <v>1</v>
      </c>
      <c r="F113" s="39">
        <v>55</v>
      </c>
      <c r="G113" s="18">
        <f>IF(F113&lt;10,10,IF(F113&lt;50,50,IF(F113&lt;100,100,IF(F113&lt;250,250,IF(F113&lt;500,500,IF(F113&lt;1000,1000,IF(F113&lt;5000, 5000, 0)))))))</f>
        <v>100</v>
      </c>
      <c r="H113" s="18">
        <f>IF(G113=5, 5, IF(G113=10, 50, IF(G113=50, 100, IF(G113=100, 250, IF(G113=250, 500, IF(G113=500, 1000, IF(G113=1000, 2000, IF(G113=5000, 2000, 0))))))))</f>
        <v>250</v>
      </c>
      <c r="I113" s="18">
        <f>IF(G113=0,"DONE",G113-F113)</f>
        <v>45</v>
      </c>
      <c r="J113" s="20">
        <f>IF(G113=0,0,H113/I113+0.00001*(500-A113))</f>
        <v>5.5594755555555553</v>
      </c>
      <c r="K113" s="27" t="s">
        <v>13</v>
      </c>
      <c r="L113" s="1"/>
      <c r="M113" s="1"/>
      <c r="N113" s="1"/>
      <c r="O113" s="1"/>
      <c r="P113" s="1"/>
      <c r="Q113" s="1"/>
      <c r="R113" s="1"/>
    </row>
    <row r="114" spans="1:18" ht="15" customHeight="1" x14ac:dyDescent="0.25">
      <c r="A114" s="22">
        <v>109</v>
      </c>
      <c r="B114" s="23" t="s">
        <v>223</v>
      </c>
      <c r="C114" s="24" t="s">
        <v>224</v>
      </c>
      <c r="D114" s="25">
        <v>4</v>
      </c>
      <c r="E114" s="26">
        <v>1</v>
      </c>
      <c r="F114" s="39">
        <v>162</v>
      </c>
      <c r="G114" s="18">
        <f>IF(F114&lt;10,10,IF(F114&lt;50,50,IF(F114&lt;100,100,IF(F114&lt;250,250,IF(F114&lt;500,500,IF(F114&lt;1000,1000,0))))))</f>
        <v>250</v>
      </c>
      <c r="H114" s="18">
        <f>IF(G114=10, 50, IF(G114=50, 100, IF(G114=100, 250, IF(G114=250, 500, IF(G114=500, 1000, IF(G114=1000, 2000, 0))))))</f>
        <v>500</v>
      </c>
      <c r="I114" s="18">
        <f>IF(G114=0,"DONE",G114-F114)</f>
        <v>88</v>
      </c>
      <c r="J114" s="20">
        <f>IF(G114=0,0,H114/I114+0.00001*(500-A114))</f>
        <v>5.685728181818182</v>
      </c>
      <c r="K114" s="27" t="s">
        <v>13</v>
      </c>
      <c r="L114" s="1"/>
      <c r="M114" s="1"/>
      <c r="N114" s="1"/>
      <c r="O114" s="1"/>
      <c r="P114" s="1"/>
      <c r="Q114" s="1"/>
      <c r="R114" s="1"/>
    </row>
    <row r="115" spans="1:18" ht="15" customHeight="1" x14ac:dyDescent="0.25">
      <c r="A115" s="22">
        <v>110</v>
      </c>
      <c r="B115" s="23" t="s">
        <v>225</v>
      </c>
      <c r="C115" s="24" t="s">
        <v>226</v>
      </c>
      <c r="D115" s="25">
        <v>4</v>
      </c>
      <c r="E115" s="26">
        <v>0</v>
      </c>
      <c r="F115" s="39">
        <v>65</v>
      </c>
      <c r="G115" s="18">
        <f>IF(F115&lt;10,10,IF(F115&lt;50,50,IF(F115&lt;100,100,IF(F115&lt;250,250,IF(F115&lt;500,500,IF(F115&lt;1000,1000,IF(F115&lt;5000, 5000, 0)))))))</f>
        <v>100</v>
      </c>
      <c r="H115" s="18">
        <f>IF(G115=5, 5, IF(G115=10, 50, IF(G115=50, 100, IF(G115=100, 250, IF(G115=250, 500, IF(G115=500, 1000, IF(G115=1000, 2000, IF(G115=5000, 2000, 0))))))))</f>
        <v>250</v>
      </c>
      <c r="I115" s="18">
        <f>IF(G115=0,"DONE",G115-F115)</f>
        <v>35</v>
      </c>
      <c r="J115" s="20">
        <f>IF(G115=0,0,H115/I115+0.00001*(500-A115))</f>
        <v>7.146757142857143</v>
      </c>
      <c r="K115" s="27" t="s">
        <v>13</v>
      </c>
      <c r="L115" s="1"/>
      <c r="M115" s="1"/>
      <c r="N115" s="1"/>
      <c r="O115" s="1"/>
      <c r="P115" s="1"/>
      <c r="Q115" s="1"/>
      <c r="R115" s="1"/>
    </row>
    <row r="116" spans="1:18" ht="15" customHeight="1" x14ac:dyDescent="0.25">
      <c r="A116" s="22">
        <v>111</v>
      </c>
      <c r="B116" s="23" t="s">
        <v>227</v>
      </c>
      <c r="C116" s="24" t="s">
        <v>228</v>
      </c>
      <c r="D116" s="25">
        <v>5</v>
      </c>
      <c r="E116" s="26">
        <v>1</v>
      </c>
      <c r="F116" s="39">
        <v>314</v>
      </c>
      <c r="G116" s="18">
        <f>IF(F116&lt;10,10,IF(F116&lt;50,50,IF(F116&lt;100,100,IF(F116&lt;250,250,IF(F116&lt;500,500,IF(F116&lt;1000,1000,0))))))</f>
        <v>500</v>
      </c>
      <c r="H116" s="18">
        <f>IF(G116=10, 50, IF(G116=50, 100, IF(G116=100, 250, IF(G116=250, 500, IF(G116=500, 1000, IF(G116=1000, 2000, 0))))))</f>
        <v>1000</v>
      </c>
      <c r="I116" s="18">
        <f>IF(G116=0,"DONE",G116-F116)</f>
        <v>186</v>
      </c>
      <c r="J116" s="20">
        <f>IF(G116=0,0,H116/I116+0.00001*(500-A116))</f>
        <v>5.3802340860215052</v>
      </c>
      <c r="K116" s="27" t="s">
        <v>13</v>
      </c>
      <c r="L116" s="1"/>
      <c r="M116" s="1"/>
      <c r="N116" s="1"/>
      <c r="O116" s="1"/>
      <c r="P116" s="1"/>
      <c r="Q116" s="1"/>
      <c r="R116" s="1"/>
    </row>
    <row r="117" spans="1:18" ht="15" customHeight="1" x14ac:dyDescent="0.25">
      <c r="A117" s="22">
        <v>112</v>
      </c>
      <c r="B117" s="23" t="s">
        <v>229</v>
      </c>
      <c r="C117" s="24" t="s">
        <v>230</v>
      </c>
      <c r="D117" s="25">
        <v>5</v>
      </c>
      <c r="E117" s="26">
        <v>1</v>
      </c>
      <c r="F117" s="39">
        <v>187</v>
      </c>
      <c r="G117" s="18">
        <f>IF(F117&lt;10,10,IF(F117&lt;50,50,IF(F117&lt;100,100,IF(F117&lt;250,250,IF(F117&lt;500,500,IF(F117&lt;1000,1000,0))))))</f>
        <v>250</v>
      </c>
      <c r="H117" s="18">
        <f>IF(G117=10, 50, IF(G117=50, 100, IF(G117=100, 250, IF(G117=250, 500, IF(G117=500, 1000, IF(G117=1000, 2000, 0))))))</f>
        <v>500</v>
      </c>
      <c r="I117" s="18">
        <f>IF(G117=0,"DONE",G117-F117)</f>
        <v>63</v>
      </c>
      <c r="J117" s="20">
        <f>IF(G117=0,0,H117/I117+0.00001*(500-A117))</f>
        <v>7.9403879365079364</v>
      </c>
      <c r="K117" s="27" t="s">
        <v>13</v>
      </c>
      <c r="L117" s="1"/>
      <c r="M117" s="1"/>
      <c r="N117" s="1"/>
      <c r="O117" s="1"/>
      <c r="P117" s="1"/>
      <c r="Q117" s="1"/>
      <c r="R117" s="1"/>
    </row>
    <row r="118" spans="1:18" ht="15" customHeight="1" x14ac:dyDescent="0.25">
      <c r="A118" s="22">
        <v>113</v>
      </c>
      <c r="B118" s="23" t="s">
        <v>231</v>
      </c>
      <c r="C118" s="24" t="s">
        <v>232</v>
      </c>
      <c r="D118" s="25">
        <v>5</v>
      </c>
      <c r="E118" s="26">
        <v>1</v>
      </c>
      <c r="F118" s="39">
        <v>182</v>
      </c>
      <c r="G118" s="18">
        <f>IF(F118&lt;10,10,IF(F118&lt;50,50,IF(F118&lt;100,100,IF(F118&lt;250,250,IF(F118&lt;500,500,IF(F118&lt;1000,1000,0))))))</f>
        <v>250</v>
      </c>
      <c r="H118" s="18">
        <f>IF(G118=10, 50, IF(G118=50, 100, IF(G118=100, 250, IF(G118=250, 500, IF(G118=500, 1000, IF(G118=1000, 2000, 0))))))</f>
        <v>500</v>
      </c>
      <c r="I118" s="18">
        <f>IF(G118=0,"DONE",G118-F118)</f>
        <v>68</v>
      </c>
      <c r="J118" s="20">
        <f>IF(G118=0,0,H118/I118+0.00001*(500-A118))</f>
        <v>7.3568111764705879</v>
      </c>
      <c r="K118" s="27" t="s">
        <v>13</v>
      </c>
      <c r="L118" s="1"/>
      <c r="M118" s="1"/>
      <c r="N118" s="1"/>
      <c r="O118" s="1"/>
      <c r="P118" s="1"/>
      <c r="Q118" s="1"/>
      <c r="R118" s="1"/>
    </row>
    <row r="119" spans="1:18" ht="15" customHeight="1" x14ac:dyDescent="0.25">
      <c r="A119" s="22">
        <v>114</v>
      </c>
      <c r="B119" s="23" t="s">
        <v>233</v>
      </c>
      <c r="C119" s="24" t="s">
        <v>234</v>
      </c>
      <c r="D119" s="25">
        <v>5</v>
      </c>
      <c r="E119" s="26">
        <v>1</v>
      </c>
      <c r="F119" s="39">
        <v>151</v>
      </c>
      <c r="G119" s="18">
        <f>IF(F119&lt;10,10,IF(F119&lt;50,50,IF(F119&lt;100,100,IF(F119&lt;250,250,IF(F119&lt;500,500,IF(F119&lt;1000,1000,0))))))</f>
        <v>250</v>
      </c>
      <c r="H119" s="18">
        <f>IF(G119=10, 50, IF(G119=50, 100, IF(G119=100, 250, IF(G119=250, 500, IF(G119=500, 1000, IF(G119=1000, 2000, 0))))))</f>
        <v>500</v>
      </c>
      <c r="I119" s="18">
        <f>IF(G119=0,"DONE",G119-F119)</f>
        <v>99</v>
      </c>
      <c r="J119" s="20">
        <f>IF(G119=0,0,H119/I119+0.00001*(500-A119))</f>
        <v>5.0543650505050506</v>
      </c>
      <c r="K119" s="27" t="s">
        <v>13</v>
      </c>
      <c r="L119" s="1"/>
      <c r="M119" s="1"/>
      <c r="N119" s="1"/>
      <c r="O119" s="1"/>
      <c r="P119" s="1"/>
      <c r="Q119" s="1"/>
      <c r="R119" s="1"/>
    </row>
    <row r="120" spans="1:18" ht="15" customHeight="1" x14ac:dyDescent="0.25">
      <c r="A120" s="22">
        <v>115</v>
      </c>
      <c r="B120" s="23" t="s">
        <v>235</v>
      </c>
      <c r="C120" s="24" t="s">
        <v>236</v>
      </c>
      <c r="D120" s="25">
        <v>5</v>
      </c>
      <c r="E120" s="26">
        <v>1</v>
      </c>
      <c r="F120" s="39">
        <v>123</v>
      </c>
      <c r="G120" s="18">
        <f>IF(F120&lt;10,10,IF(F120&lt;50,50,IF(F120&lt;100,100,IF(F120&lt;250,250,IF(F120&lt;500,500,IF(F120&lt;1000,1000,0))))))</f>
        <v>250</v>
      </c>
      <c r="H120" s="18">
        <f>IF(G120=10, 50, IF(G120=50, 100, IF(G120=100, 250, IF(G120=250, 500, IF(G120=500, 1000, IF(G120=1000, 2000, 0))))))</f>
        <v>500</v>
      </c>
      <c r="I120" s="18">
        <f>IF(G120=0,"DONE",G120-F120)</f>
        <v>127</v>
      </c>
      <c r="J120" s="20">
        <f>IF(G120=0,0,H120/I120+0.00001*(500-A120))</f>
        <v>3.9408578740157481</v>
      </c>
      <c r="K120" s="27" t="s">
        <v>13</v>
      </c>
      <c r="L120" s="1"/>
      <c r="M120" s="1"/>
      <c r="N120" s="1"/>
      <c r="O120" s="1"/>
      <c r="P120" s="1"/>
      <c r="Q120" s="1"/>
      <c r="R120" s="1"/>
    </row>
    <row r="121" spans="1:18" ht="15" customHeight="1" x14ac:dyDescent="0.25">
      <c r="A121" s="22">
        <v>116</v>
      </c>
      <c r="B121" s="23" t="s">
        <v>237</v>
      </c>
      <c r="C121" s="24" t="s">
        <v>238</v>
      </c>
      <c r="D121" s="25">
        <v>5</v>
      </c>
      <c r="E121" s="26">
        <v>1</v>
      </c>
      <c r="F121" s="39">
        <v>111</v>
      </c>
      <c r="G121" s="18">
        <f>IF(F121&lt;10,10,IF(F121&lt;50,50,IF(F121&lt;100,100,IF(F121&lt;250,250,IF(F121&lt;500,500,IF(F121&lt;1000,1000,0))))))</f>
        <v>250</v>
      </c>
      <c r="H121" s="18">
        <f>IF(G121=10, 50, IF(G121=50, 100, IF(G121=100, 250, IF(G121=250, 500, IF(G121=500, 1000, IF(G121=1000, 2000, 0))))))</f>
        <v>500</v>
      </c>
      <c r="I121" s="18">
        <f>IF(G121=0,"DONE",G121-F121)</f>
        <v>139</v>
      </c>
      <c r="J121" s="20">
        <f>IF(G121=0,0,H121/I121+0.00001*(500-A121))</f>
        <v>3.6009623021582731</v>
      </c>
      <c r="K121" s="27" t="s">
        <v>13</v>
      </c>
      <c r="L121" s="1"/>
      <c r="M121" s="1"/>
      <c r="N121" s="1"/>
      <c r="O121" s="1"/>
      <c r="P121" s="1"/>
      <c r="Q121" s="1"/>
      <c r="R121" s="1"/>
    </row>
    <row r="122" spans="1:18" ht="15" customHeight="1" x14ac:dyDescent="0.25">
      <c r="A122" s="22">
        <v>117</v>
      </c>
      <c r="B122" s="23" t="s">
        <v>239</v>
      </c>
      <c r="C122" s="24" t="s">
        <v>47</v>
      </c>
      <c r="D122" s="25">
        <v>5</v>
      </c>
      <c r="E122" s="26">
        <v>1</v>
      </c>
      <c r="F122" s="39">
        <v>106</v>
      </c>
      <c r="G122" s="18">
        <f>IF(F122&lt;10,10,IF(F122&lt;50,50,IF(F122&lt;100,100,IF(F122&lt;250,250,IF(F122&lt;500,500,IF(F122&lt;1000,1000,0))))))</f>
        <v>250</v>
      </c>
      <c r="H122" s="18">
        <f>IF(G122=10, 50, IF(G122=50, 100, IF(G122=100, 250, IF(G122=250, 500, IF(G122=500, 1000, IF(G122=1000, 2000, 0))))))</f>
        <v>500</v>
      </c>
      <c r="I122" s="18">
        <f>IF(G122=0,"DONE",G122-F122)</f>
        <v>144</v>
      </c>
      <c r="J122" s="20">
        <f>IF(G122=0,0,H122/I122+0.00001*(500-A122))</f>
        <v>3.4760522222222225</v>
      </c>
      <c r="K122" s="27" t="s">
        <v>13</v>
      </c>
      <c r="L122" s="1"/>
      <c r="M122" s="1"/>
      <c r="N122" s="1"/>
      <c r="O122" s="1"/>
      <c r="P122" s="1"/>
      <c r="Q122" s="1"/>
      <c r="R122" s="1"/>
    </row>
    <row r="123" spans="1:18" ht="15" customHeight="1" x14ac:dyDescent="0.25">
      <c r="A123" s="22">
        <v>118</v>
      </c>
      <c r="B123" s="23" t="s">
        <v>240</v>
      </c>
      <c r="C123" s="24" t="s">
        <v>241</v>
      </c>
      <c r="D123" s="25">
        <v>5</v>
      </c>
      <c r="E123" s="26">
        <v>1</v>
      </c>
      <c r="F123" s="39">
        <v>308</v>
      </c>
      <c r="G123" s="18">
        <f>IF(F123&lt;10,10,IF(F123&lt;50,50,IF(F123&lt;100,100,IF(F123&lt;250,250,IF(F123&lt;500,500,IF(F123&lt;1000,1000,0))))))</f>
        <v>500</v>
      </c>
      <c r="H123" s="18">
        <f>IF(G123=10, 50, IF(G123=50, 100, IF(G123=100, 250, IF(G123=250, 500, IF(G123=500, 1000, IF(G123=1000, 2000, 0))))))</f>
        <v>1000</v>
      </c>
      <c r="I123" s="18">
        <f>IF(G123=0,"DONE",G123-F123)</f>
        <v>192</v>
      </c>
      <c r="J123" s="20">
        <f>IF(G123=0,0,H123/I123+0.00001*(500-A123))</f>
        <v>5.2121533333333332</v>
      </c>
      <c r="K123" s="27" t="s">
        <v>13</v>
      </c>
      <c r="L123" s="1"/>
      <c r="M123" s="1"/>
      <c r="N123" s="1"/>
      <c r="O123" s="1"/>
      <c r="P123" s="1"/>
      <c r="Q123" s="1"/>
      <c r="R123" s="1"/>
    </row>
    <row r="124" spans="1:18" ht="15" customHeight="1" x14ac:dyDescent="0.25">
      <c r="A124" s="22">
        <v>119</v>
      </c>
      <c r="B124" s="23" t="s">
        <v>242</v>
      </c>
      <c r="C124" s="24" t="s">
        <v>243</v>
      </c>
      <c r="D124" s="25">
        <v>5</v>
      </c>
      <c r="E124" s="26">
        <v>1</v>
      </c>
      <c r="F124" s="39">
        <v>67</v>
      </c>
      <c r="G124" s="18">
        <f>IF(F124&lt;10,10,IF(F124&lt;50,50,IF(F124&lt;100,100,IF(F124&lt;250,250,IF(F124&lt;500,500,IF(F124&lt;1000,1000,0))))))</f>
        <v>100</v>
      </c>
      <c r="H124" s="18">
        <f>IF(G124=10, 50, IF(G124=50, 100, IF(G124=100, 250, IF(G124=250, 500, IF(G124=500, 1000, IF(G124=1000, 2000, 0))))))</f>
        <v>250</v>
      </c>
      <c r="I124" s="18">
        <f>IF(G124=0,"DONE",G124-F124)</f>
        <v>33</v>
      </c>
      <c r="J124" s="20">
        <f>IF(G124=0,0,H124/I124+0.00001*(500-A124))</f>
        <v>7.5795675757575758</v>
      </c>
      <c r="K124" s="27" t="s">
        <v>13</v>
      </c>
      <c r="L124" s="1"/>
      <c r="M124" s="1"/>
      <c r="N124" s="1"/>
      <c r="O124" s="1"/>
      <c r="P124" s="1"/>
      <c r="Q124" s="1"/>
      <c r="R124" s="1"/>
    </row>
    <row r="125" spans="1:18" ht="15" customHeight="1" x14ac:dyDescent="0.25">
      <c r="A125" s="22">
        <v>120</v>
      </c>
      <c r="B125" s="23" t="s">
        <v>244</v>
      </c>
      <c r="C125" s="24" t="s">
        <v>245</v>
      </c>
      <c r="D125" s="25">
        <v>5</v>
      </c>
      <c r="E125" s="26">
        <v>1</v>
      </c>
      <c r="F125" s="39">
        <v>91</v>
      </c>
      <c r="G125" s="18">
        <f>IF(F125&lt;10,10,IF(F125&lt;50,50,IF(F125&lt;100,100,IF(F125&lt;250,250,IF(F125&lt;500,500,IF(F125&lt;1000,1000,0))))))</f>
        <v>100</v>
      </c>
      <c r="H125" s="18">
        <f>IF(G125=10, 50, IF(G125=50, 100, IF(G125=100, 250, IF(G125=250, 500, IF(G125=500, 1000, IF(G125=1000, 2000, 0))))))</f>
        <v>250</v>
      </c>
      <c r="I125" s="18">
        <f>IF(G125=0,"DONE",G125-F125)</f>
        <v>9</v>
      </c>
      <c r="J125" s="20">
        <f>IF(G125=0,0,H125/I125+0.00001*(500-A125))</f>
        <v>27.781577777777777</v>
      </c>
      <c r="K125" s="27" t="s">
        <v>13</v>
      </c>
      <c r="L125" s="1"/>
      <c r="M125" s="1"/>
      <c r="N125" s="1"/>
      <c r="O125" s="1"/>
      <c r="P125" s="1"/>
      <c r="Q125" s="1"/>
      <c r="R125" s="1"/>
    </row>
    <row r="126" spans="1:18" ht="15" customHeight="1" x14ac:dyDescent="0.25">
      <c r="A126" s="22">
        <v>121</v>
      </c>
      <c r="B126" s="23" t="s">
        <v>246</v>
      </c>
      <c r="C126" s="24" t="s">
        <v>247</v>
      </c>
      <c r="D126" s="25">
        <v>5</v>
      </c>
      <c r="E126" s="26">
        <v>1</v>
      </c>
      <c r="F126" s="39">
        <v>154</v>
      </c>
      <c r="G126" s="18">
        <f>IF(F126&lt;10,10,IF(F126&lt;50,50,IF(F126&lt;100,100,IF(F126&lt;250,250,IF(F126&lt;500,500,IF(F126&lt;1000,1000,0))))))</f>
        <v>250</v>
      </c>
      <c r="H126" s="18">
        <f>IF(G126=10, 50, IF(G126=50, 100, IF(G126=100, 250, IF(G126=250, 500, IF(G126=500, 1000, IF(G126=1000, 2000, 0))))))</f>
        <v>500</v>
      </c>
      <c r="I126" s="18">
        <f>IF(G126=0,"DONE",G126-F126)</f>
        <v>96</v>
      </c>
      <c r="J126" s="20">
        <f>IF(G126=0,0,H126/I126+0.00001*(500-A126))</f>
        <v>5.2121233333333334</v>
      </c>
      <c r="K126" s="27" t="s">
        <v>13</v>
      </c>
      <c r="L126" s="1"/>
      <c r="M126" s="1"/>
      <c r="N126" s="1"/>
      <c r="O126" s="1"/>
      <c r="P126" s="1"/>
      <c r="Q126" s="1"/>
      <c r="R126" s="1"/>
    </row>
    <row r="127" spans="1:18" ht="15" customHeight="1" x14ac:dyDescent="0.25">
      <c r="A127" s="22">
        <v>122</v>
      </c>
      <c r="B127" s="23" t="s">
        <v>248</v>
      </c>
      <c r="C127" s="24" t="s">
        <v>249</v>
      </c>
      <c r="D127" s="25">
        <v>5</v>
      </c>
      <c r="E127" s="26">
        <v>1</v>
      </c>
      <c r="F127" s="39">
        <v>60</v>
      </c>
      <c r="G127" s="18">
        <f>IF(F127&lt;10,10,IF(F127&lt;50,50,IF(F127&lt;100,100,IF(F127&lt;250,250,IF(F127&lt;500,500,IF(F127&lt;1000,1000,0))))))</f>
        <v>100</v>
      </c>
      <c r="H127" s="18">
        <f>IF(G127=10, 50, IF(G127=50, 100, IF(G127=100, 250, IF(G127=250, 500, IF(G127=500, 1000, IF(G127=1000, 2000, 0))))))</f>
        <v>250</v>
      </c>
      <c r="I127" s="18">
        <f>IF(G127=0,"DONE",G127-F127)</f>
        <v>40</v>
      </c>
      <c r="J127" s="20">
        <f>IF(G127=0,0,H127/I127+0.00001*(500-A127))</f>
        <v>6.2537799999999999</v>
      </c>
      <c r="K127" s="27" t="s">
        <v>13</v>
      </c>
      <c r="L127" s="1"/>
      <c r="M127" s="1"/>
      <c r="N127" s="1"/>
      <c r="O127" s="1"/>
      <c r="P127" s="1"/>
      <c r="Q127" s="1"/>
      <c r="R127" s="1"/>
    </row>
    <row r="128" spans="1:18" ht="15" customHeight="1" x14ac:dyDescent="0.25">
      <c r="A128" s="22">
        <v>123</v>
      </c>
      <c r="B128" s="23" t="s">
        <v>250</v>
      </c>
      <c r="C128" s="24" t="s">
        <v>251</v>
      </c>
      <c r="D128" s="25">
        <v>5</v>
      </c>
      <c r="E128" s="26">
        <v>1</v>
      </c>
      <c r="F128" s="39">
        <v>71</v>
      </c>
      <c r="G128" s="18">
        <f>IF(F128&lt;10,10,IF(F128&lt;50,50,IF(F128&lt;100,100,IF(F128&lt;250,250,IF(F128&lt;500,500,IF(F128&lt;1000,1000,0))))))</f>
        <v>100</v>
      </c>
      <c r="H128" s="18">
        <f>IF(G128=10, 50, IF(G128=50, 100, IF(G128=100, 250, IF(G128=250, 500, IF(G128=500, 1000, IF(G128=1000, 2000, 0))))))</f>
        <v>250</v>
      </c>
      <c r="I128" s="18">
        <f>IF(G128=0,"DONE",G128-F128)</f>
        <v>29</v>
      </c>
      <c r="J128" s="20">
        <f>IF(G128=0,0,H128/I128+0.00001*(500-A128))</f>
        <v>8.624459655172414</v>
      </c>
      <c r="K128" s="27" t="s">
        <v>13</v>
      </c>
      <c r="L128" s="1"/>
      <c r="M128" s="1"/>
      <c r="N128" s="1"/>
      <c r="O128" s="1"/>
      <c r="P128" s="1"/>
      <c r="Q128" s="1"/>
      <c r="R128" s="1"/>
    </row>
    <row r="129" spans="1:18" ht="15" customHeight="1" x14ac:dyDescent="0.25">
      <c r="A129" s="22">
        <v>124</v>
      </c>
      <c r="B129" s="23" t="s">
        <v>252</v>
      </c>
      <c r="C129" s="24" t="s">
        <v>253</v>
      </c>
      <c r="D129" s="25">
        <v>5</v>
      </c>
      <c r="E129" s="26">
        <v>0</v>
      </c>
      <c r="F129" s="39">
        <v>45</v>
      </c>
      <c r="G129" s="18">
        <f>IF(F129&lt;10,10,IF(F129&lt;50,50,IF(F129&lt;100,100,IF(F129&lt;250,250,IF(F129&lt;500,500,IF(F129&lt;1000,1000,0))))))</f>
        <v>50</v>
      </c>
      <c r="H129" s="18">
        <f>IF(G129=10, 50, IF(G129=50, 100, IF(G129=100, 250, IF(G129=250, 500, IF(G129=500, 1000, IF(G129=1000, 2000, 0))))))</f>
        <v>100</v>
      </c>
      <c r="I129" s="18">
        <f>IF(G129=0,"DONE",G129-F129)</f>
        <v>5</v>
      </c>
      <c r="J129" s="20">
        <f>IF(G129=0,0,H129/I129+0.00001*(500-A129))</f>
        <v>20.00376</v>
      </c>
      <c r="K129" s="27" t="s">
        <v>13</v>
      </c>
      <c r="L129" s="1"/>
      <c r="M129" s="1"/>
      <c r="N129" s="1"/>
      <c r="O129" s="1"/>
      <c r="P129" s="1"/>
      <c r="Q129" s="1"/>
      <c r="R129" s="1"/>
    </row>
    <row r="130" spans="1:18" ht="15" customHeight="1" x14ac:dyDescent="0.25">
      <c r="A130" s="22">
        <v>125</v>
      </c>
      <c r="B130" s="23" t="s">
        <v>254</v>
      </c>
      <c r="C130" s="24" t="s">
        <v>255</v>
      </c>
      <c r="D130" s="25">
        <v>5</v>
      </c>
      <c r="E130" s="26">
        <v>0</v>
      </c>
      <c r="F130" s="39">
        <v>40</v>
      </c>
      <c r="G130" s="18">
        <f>IF(F130&lt;10,10,IF(F130&lt;50,50,IF(F130&lt;100,100,IF(F130&lt;250,250,IF(F130&lt;500,500,IF(F130&lt;1000,1000,0))))))</f>
        <v>50</v>
      </c>
      <c r="H130" s="18">
        <f>IF(G130=10, 50, IF(G130=50, 100, IF(G130=100, 250, IF(G130=250, 500, IF(G130=500, 1000, IF(G130=1000, 2000, 0))))))</f>
        <v>100</v>
      </c>
      <c r="I130" s="18">
        <f>IF(G130=0,"DONE",G130-F130)</f>
        <v>10</v>
      </c>
      <c r="J130" s="20">
        <f>IF(G130=0,0,H130/I130+0.00001*(500-A130))</f>
        <v>10.00375</v>
      </c>
      <c r="K130" s="27" t="s">
        <v>13</v>
      </c>
      <c r="L130" s="1"/>
      <c r="M130" s="1"/>
      <c r="N130" s="1"/>
      <c r="O130" s="1"/>
      <c r="P130" s="1"/>
      <c r="Q130" s="1"/>
      <c r="R130" s="1"/>
    </row>
    <row r="131" spans="1:18" ht="15" customHeight="1" x14ac:dyDescent="0.25">
      <c r="A131" s="22">
        <v>126</v>
      </c>
      <c r="B131" s="23" t="s">
        <v>256</v>
      </c>
      <c r="C131" s="24" t="s">
        <v>257</v>
      </c>
      <c r="D131" s="25">
        <v>5</v>
      </c>
      <c r="E131" s="26">
        <v>1</v>
      </c>
      <c r="F131" s="39">
        <v>103</v>
      </c>
      <c r="G131" s="18">
        <f>IF(F131&lt;10,10,IF(F131&lt;50,50,IF(F131&lt;100,100,IF(F131&lt;250,250,IF(F131&lt;500,500,IF(F131&lt;1000,1000,0))))))</f>
        <v>250</v>
      </c>
      <c r="H131" s="18">
        <f>IF(G131=10, 50, IF(G131=50, 100, IF(G131=100, 250, IF(G131=250, 500, IF(G131=500, 1000, IF(G131=1000, 2000, 0))))))</f>
        <v>500</v>
      </c>
      <c r="I131" s="18">
        <f>IF(G131=0,"DONE",G131-F131)</f>
        <v>147</v>
      </c>
      <c r="J131" s="20">
        <f>IF(G131=0,0,H131/I131+0.00001*(500-A131))</f>
        <v>3.4051005442176869</v>
      </c>
      <c r="K131" s="27" t="s">
        <v>13</v>
      </c>
      <c r="L131" s="1"/>
      <c r="M131" s="1"/>
      <c r="N131" s="1"/>
      <c r="O131" s="1"/>
      <c r="P131" s="1"/>
      <c r="Q131" s="1"/>
      <c r="R131" s="1"/>
    </row>
    <row r="132" spans="1:18" ht="15" customHeight="1" x14ac:dyDescent="0.25">
      <c r="A132" s="22">
        <v>127</v>
      </c>
      <c r="B132" s="23" t="s">
        <v>258</v>
      </c>
      <c r="C132" s="24" t="s">
        <v>259</v>
      </c>
      <c r="D132" s="25">
        <v>5</v>
      </c>
      <c r="E132" s="26">
        <v>0</v>
      </c>
      <c r="F132" s="39">
        <v>13</v>
      </c>
      <c r="G132" s="18">
        <f>IF(F132&lt;10,10,IF(F132&lt;50,50,IF(F132&lt;100,100,IF(F132&lt;250,250,IF(F132&lt;500,500,IF(F132&lt;1000,1000,0))))))</f>
        <v>50</v>
      </c>
      <c r="H132" s="18">
        <f>IF(G132=10, 50, IF(G132=50, 100, IF(G132=100, 250, IF(G132=250, 500, IF(G132=500, 1000, IF(G132=1000, 2000, 0))))))</f>
        <v>100</v>
      </c>
      <c r="I132" s="18">
        <f>IF(G132=0,"DONE",G132-F132)</f>
        <v>37</v>
      </c>
      <c r="J132" s="20">
        <f>IF(G132=0,0,H132/I132+0.00001*(500-A132))</f>
        <v>2.7064327027027026</v>
      </c>
      <c r="K132" s="27" t="s">
        <v>13</v>
      </c>
      <c r="L132" s="1"/>
      <c r="M132" s="1"/>
      <c r="N132" s="1"/>
      <c r="O132" s="1"/>
      <c r="P132" s="1"/>
      <c r="Q132" s="1"/>
      <c r="R132" s="1"/>
    </row>
    <row r="133" spans="1:18" ht="15" customHeight="1" x14ac:dyDescent="0.25">
      <c r="A133" s="22">
        <v>128</v>
      </c>
      <c r="B133" s="23" t="s">
        <v>260</v>
      </c>
      <c r="C133" s="24" t="s">
        <v>261</v>
      </c>
      <c r="D133" s="25">
        <v>5</v>
      </c>
      <c r="E133" s="26">
        <v>0</v>
      </c>
      <c r="F133" s="39">
        <v>45</v>
      </c>
      <c r="G133" s="18">
        <f>IF(F133&lt;10,10,IF(F133&lt;50,50,IF(F133&lt;100,100,IF(F133&lt;250,250,IF(F133&lt;500,500,IF(F133&lt;1000,1000,0))))))</f>
        <v>50</v>
      </c>
      <c r="H133" s="18">
        <f>IF(G133=10, 50, IF(G133=50, 100, IF(G133=100, 250, IF(G133=250, 500, IF(G133=500, 1000, IF(G133=1000, 2000, 0))))))</f>
        <v>100</v>
      </c>
      <c r="I133" s="18">
        <f>IF(G133=0,"DONE",G133-F133)</f>
        <v>5</v>
      </c>
      <c r="J133" s="20">
        <f>IF(G133=0,0,H133/I133+0.00001*(500-A133))</f>
        <v>20.003720000000001</v>
      </c>
      <c r="K133" s="27" t="s">
        <v>13</v>
      </c>
      <c r="L133" s="1"/>
      <c r="M133" s="1"/>
      <c r="N133" s="1"/>
      <c r="O133" s="1"/>
      <c r="P133" s="1"/>
      <c r="Q133" s="1"/>
      <c r="R133" s="1"/>
    </row>
    <row r="134" spans="1:18" ht="15" customHeight="1" x14ac:dyDescent="0.25">
      <c r="A134" s="22">
        <v>129</v>
      </c>
      <c r="B134" s="23" t="s">
        <v>262</v>
      </c>
      <c r="C134" s="24" t="s">
        <v>263</v>
      </c>
      <c r="D134" s="25">
        <v>5</v>
      </c>
      <c r="E134" s="26">
        <v>1</v>
      </c>
      <c r="F134" s="39">
        <v>37</v>
      </c>
      <c r="G134" s="18">
        <f>IF(F134&lt;10,10,IF(F134&lt;50,50,IF(F134&lt;100,100,IF(F134&lt;250,250,IF(F134&lt;500,500,IF(F134&lt;1000,1000,0))))))</f>
        <v>50</v>
      </c>
      <c r="H134" s="18">
        <f>IF(G134=10, 50, IF(G134=50, 100, IF(G134=100, 250, IF(G134=250, 500, IF(G134=500, 1000, IF(G134=1000, 2000, 0))))))</f>
        <v>100</v>
      </c>
      <c r="I134" s="18">
        <f>IF(G134=0,"DONE",G134-F134)</f>
        <v>13</v>
      </c>
      <c r="J134" s="20">
        <f>IF(G134=0,0,H134/I134+0.00001*(500-A134))</f>
        <v>7.6960176923076924</v>
      </c>
      <c r="K134" s="27" t="s">
        <v>13</v>
      </c>
      <c r="L134" s="1"/>
      <c r="M134" s="1"/>
      <c r="N134" s="1"/>
      <c r="O134" s="1"/>
      <c r="P134" s="1"/>
      <c r="Q134" s="1"/>
      <c r="R134" s="1"/>
    </row>
    <row r="135" spans="1:18" ht="15" customHeight="1" x14ac:dyDescent="0.25">
      <c r="A135" s="22">
        <v>130</v>
      </c>
      <c r="B135" s="23" t="s">
        <v>264</v>
      </c>
      <c r="C135" s="24" t="s">
        <v>265</v>
      </c>
      <c r="D135" s="25">
        <v>5</v>
      </c>
      <c r="E135" s="26">
        <v>1</v>
      </c>
      <c r="F135" s="39">
        <v>67</v>
      </c>
      <c r="G135" s="18">
        <f>IF(F135&lt;10,10,IF(F135&lt;50,50,IF(F135&lt;100,100,IF(F135&lt;250,250,IF(F135&lt;500,500,IF(F135&lt;1000,1000,0))))))</f>
        <v>100</v>
      </c>
      <c r="H135" s="18">
        <f>IF(G135=10, 50, IF(G135=50, 100, IF(G135=100, 250, IF(G135=250, 500, IF(G135=500, 1000, IF(G135=1000, 2000, 0))))))</f>
        <v>250</v>
      </c>
      <c r="I135" s="18">
        <f>IF(G135=0,"DONE",G135-F135)</f>
        <v>33</v>
      </c>
      <c r="J135" s="20">
        <f>IF(G135=0,0,H135/I135+0.00001*(500-A135))</f>
        <v>7.5794575757575764</v>
      </c>
      <c r="K135" s="27" t="s">
        <v>13</v>
      </c>
      <c r="L135" s="1"/>
      <c r="M135" s="1"/>
      <c r="N135" s="1"/>
      <c r="O135" s="1"/>
      <c r="P135" s="1"/>
      <c r="Q135" s="1"/>
      <c r="R135" s="1"/>
    </row>
    <row r="136" spans="1:18" ht="15" customHeight="1" x14ac:dyDescent="0.25">
      <c r="A136" s="22">
        <v>131</v>
      </c>
      <c r="B136" s="23" t="s">
        <v>266</v>
      </c>
      <c r="C136" s="24" t="s">
        <v>267</v>
      </c>
      <c r="D136" s="25">
        <v>5</v>
      </c>
      <c r="E136" s="26">
        <v>0</v>
      </c>
      <c r="F136" s="39">
        <v>19</v>
      </c>
      <c r="G136" s="18">
        <f>IF(F136&lt;10,10,IF(F136&lt;50,50,IF(F136&lt;100,100,IF(F136&lt;250,250,IF(F136&lt;500,500,IF(F136&lt;1000,1000,0))))))</f>
        <v>50</v>
      </c>
      <c r="H136" s="18">
        <f>IF(G136=10, 50, IF(G136=50, 100, IF(G136=100, 250, IF(G136=250, 500, IF(G136=500, 1000, IF(G136=1000, 2000, 0))))))</f>
        <v>100</v>
      </c>
      <c r="I136" s="18">
        <f>IF(G136=0,"DONE",G136-F136)</f>
        <v>31</v>
      </c>
      <c r="J136" s="20">
        <f>IF(G136=0,0,H136/I136+0.00001*(500-A136))</f>
        <v>3.2294964516129032</v>
      </c>
      <c r="K136" s="27" t="s">
        <v>13</v>
      </c>
      <c r="L136" s="1"/>
      <c r="M136" s="1"/>
      <c r="N136" s="1"/>
      <c r="O136" s="1"/>
      <c r="P136" s="1"/>
      <c r="Q136" s="1"/>
      <c r="R136" s="1"/>
    </row>
    <row r="137" spans="1:18" ht="15" customHeight="1" x14ac:dyDescent="0.25">
      <c r="A137" s="22">
        <v>132</v>
      </c>
      <c r="B137" s="23" t="s">
        <v>268</v>
      </c>
      <c r="C137" s="24" t="s">
        <v>49</v>
      </c>
      <c r="D137" s="25">
        <v>5</v>
      </c>
      <c r="E137" s="26">
        <v>0</v>
      </c>
      <c r="F137" s="39">
        <v>16</v>
      </c>
      <c r="G137" s="18">
        <f>IF(F137&lt;10,10,IF(F137&lt;50,50,IF(F137&lt;100,100,IF(F137&lt;250,250,IF(F137&lt;500,500,IF(F137&lt;1000,1000,IF(F137&lt;5000, 5000, 0)))))))</f>
        <v>50</v>
      </c>
      <c r="H137" s="18">
        <f>IF(G137=5, 5, IF(G137=10, 50, IF(G137=50, 100, IF(G137=100, 250, IF(G137=250, 500, IF(G137=500, 1000, IF(G137=1000, 2000, IF(G137=5000, 2000, 0))))))))</f>
        <v>100</v>
      </c>
      <c r="I137" s="18">
        <f>IF(G137=0,"DONE",G137-F137)</f>
        <v>34</v>
      </c>
      <c r="J137" s="20">
        <f>IF(G137=0,0,H137/I137+0.00001*(500-A137))</f>
        <v>2.9448564705882356</v>
      </c>
      <c r="K137" s="27" t="s">
        <v>13</v>
      </c>
      <c r="L137" s="1"/>
      <c r="M137" s="1"/>
      <c r="N137" s="1"/>
      <c r="O137" s="1"/>
      <c r="P137" s="1"/>
      <c r="Q137" s="1"/>
      <c r="R137" s="1"/>
    </row>
    <row r="138" spans="1:18" ht="15" customHeight="1" x14ac:dyDescent="0.25">
      <c r="A138" s="22">
        <v>133</v>
      </c>
      <c r="B138" s="23" t="s">
        <v>269</v>
      </c>
      <c r="C138" s="24" t="s">
        <v>270</v>
      </c>
      <c r="D138" s="25">
        <v>5</v>
      </c>
      <c r="E138" s="26">
        <v>1</v>
      </c>
      <c r="F138" s="39">
        <v>129</v>
      </c>
      <c r="G138" s="18">
        <f>IF(F138&lt;10,10,IF(F138&lt;50,50,IF(F138&lt;100,100,IF(F138&lt;250,250,IF(F138&lt;500,500,IF(F138&lt;1000,1000,IF(F138&lt;5000, 5000, 0)))))))</f>
        <v>250</v>
      </c>
      <c r="H138" s="18">
        <f>IF(G138=5, 5, IF(G138=10, 50, IF(G138=50, 100, IF(G138=100, 250, IF(G138=250, 500, IF(G138=500, 1000, IF(G138=1000, 2000, IF(G138=5000, 2000, 0))))))))</f>
        <v>500</v>
      </c>
      <c r="I138" s="18">
        <f>IF(G138=0,"DONE",G138-F138)</f>
        <v>121</v>
      </c>
      <c r="J138" s="20">
        <f>IF(G138=0,0,H138/I138+0.00001*(500-A138))</f>
        <v>4.1359014049586769</v>
      </c>
      <c r="K138" s="27" t="s">
        <v>13</v>
      </c>
      <c r="L138" s="1"/>
      <c r="M138" s="1"/>
      <c r="N138" s="1"/>
      <c r="O138" s="1"/>
      <c r="P138" s="1"/>
      <c r="Q138" s="1"/>
      <c r="R138" s="1"/>
    </row>
    <row r="139" spans="1:18" ht="15" customHeight="1" x14ac:dyDescent="0.25">
      <c r="A139" s="22">
        <v>134</v>
      </c>
      <c r="B139" s="23" t="s">
        <v>271</v>
      </c>
      <c r="C139" s="24" t="s">
        <v>272</v>
      </c>
      <c r="D139" s="25">
        <v>5</v>
      </c>
      <c r="E139" s="26">
        <v>0</v>
      </c>
      <c r="F139" s="39">
        <v>59</v>
      </c>
      <c r="G139" s="18">
        <f>IF(F139&lt;10,10,IF(F139&lt;50,50,IF(F139&lt;100,100,IF(F139&lt;250,250,IF(F139&lt;500,500,IF(F139&lt;1000,1000,IF(F139&lt;5000, 5000, 0)))))))</f>
        <v>100</v>
      </c>
      <c r="H139" s="18">
        <f>IF(G139=5, 5, IF(G139=10, 50, IF(G139=50, 100, IF(G139=100, 250, IF(G139=250, 500, IF(G139=500, 1000, IF(G139=1000, 2000, IF(G139=5000, 2000, 0))))))))</f>
        <v>250</v>
      </c>
      <c r="I139" s="18">
        <f>IF(G139=0,"DONE",G139-F139)</f>
        <v>41</v>
      </c>
      <c r="J139" s="20">
        <f>IF(G139=0,0,H139/I139+0.00001*(500-A139))</f>
        <v>6.1012209756097562</v>
      </c>
      <c r="K139" s="27" t="s">
        <v>13</v>
      </c>
      <c r="L139" s="1"/>
      <c r="M139" s="1"/>
      <c r="N139" s="1"/>
      <c r="O139" s="1"/>
      <c r="P139" s="1"/>
      <c r="Q139" s="1"/>
      <c r="R139" s="1"/>
    </row>
    <row r="140" spans="1:18" ht="15" customHeight="1" x14ac:dyDescent="0.25">
      <c r="A140" s="22">
        <v>135</v>
      </c>
      <c r="B140" s="23" t="s">
        <v>273</v>
      </c>
      <c r="C140" s="24" t="s">
        <v>274</v>
      </c>
      <c r="D140" s="25">
        <v>5</v>
      </c>
      <c r="E140" s="26">
        <v>1</v>
      </c>
      <c r="F140" s="39">
        <v>68</v>
      </c>
      <c r="G140" s="18">
        <f>IF(F140&lt;10,10,IF(F140&lt;50,50,IF(F140&lt;100,100,IF(F140&lt;250,250,IF(F140&lt;500,500,IF(F140&lt;1000,1000,IF(F140&lt;5000, 5000, 0)))))))</f>
        <v>100</v>
      </c>
      <c r="H140" s="18">
        <f>IF(G140=5, 5, IF(G140=10, 50, IF(G140=50, 100, IF(G140=100, 250, IF(G140=250, 500, IF(G140=500, 1000, IF(G140=1000, 2000, IF(G140=5000, 2000, 0))))))))</f>
        <v>250</v>
      </c>
      <c r="I140" s="18">
        <f>IF(G140=0,"DONE",G140-F140)</f>
        <v>32</v>
      </c>
      <c r="J140" s="20">
        <f>IF(G140=0,0,H140/I140+0.00001*(500-A140))</f>
        <v>7.8161500000000004</v>
      </c>
      <c r="K140" s="27" t="s">
        <v>13</v>
      </c>
      <c r="L140" s="1"/>
      <c r="M140" s="1"/>
      <c r="N140" s="1"/>
      <c r="O140" s="1"/>
      <c r="P140" s="1"/>
      <c r="Q140" s="1"/>
      <c r="R140" s="1"/>
    </row>
    <row r="141" spans="1:18" ht="15" customHeight="1" x14ac:dyDescent="0.25">
      <c r="A141" s="22">
        <v>136</v>
      </c>
      <c r="B141" s="23" t="s">
        <v>275</v>
      </c>
      <c r="C141" s="24" t="s">
        <v>276</v>
      </c>
      <c r="D141" s="25">
        <v>5</v>
      </c>
      <c r="E141" s="26">
        <v>0</v>
      </c>
      <c r="F141" s="39">
        <v>40</v>
      </c>
      <c r="G141" s="18">
        <f>IF(F141&lt;10,10,IF(F141&lt;50,50,IF(F141&lt;100,100,IF(F141&lt;250,250,IF(F141&lt;500,500,IF(F141&lt;1000,1000,IF(F141&lt;5000, 5000, 0)))))))</f>
        <v>50</v>
      </c>
      <c r="H141" s="18">
        <f>IF(G141=5, 5, IF(G141=10, 50, IF(G141=50, 100, IF(G141=100, 250, IF(G141=250, 500, IF(G141=500, 1000, IF(G141=1000, 2000, IF(G141=5000, 2000, 0))))))))</f>
        <v>100</v>
      </c>
      <c r="I141" s="18">
        <f>IF(G141=0,"DONE",G141-F141)</f>
        <v>10</v>
      </c>
      <c r="J141" s="20">
        <f>IF(G141=0,0,H141/I141+0.00001*(500-A141))</f>
        <v>10.003640000000001</v>
      </c>
      <c r="K141" s="27" t="s">
        <v>13</v>
      </c>
      <c r="L141" s="1"/>
      <c r="M141" s="1"/>
      <c r="N141" s="1"/>
      <c r="O141" s="1"/>
      <c r="P141" s="1"/>
      <c r="Q141" s="1"/>
      <c r="R141" s="1"/>
    </row>
    <row r="142" spans="1:18" ht="15" customHeight="1" x14ac:dyDescent="0.25">
      <c r="A142" s="22">
        <v>137</v>
      </c>
      <c r="B142" s="23" t="s">
        <v>277</v>
      </c>
      <c r="C142" s="24" t="s">
        <v>278</v>
      </c>
      <c r="D142" s="25">
        <v>5</v>
      </c>
      <c r="E142" s="26">
        <v>0</v>
      </c>
      <c r="F142" s="39">
        <v>47</v>
      </c>
      <c r="G142" s="18">
        <f>IF(F142&lt;10,10,IF(F142&lt;50,50,IF(F142&lt;100,100,IF(F142&lt;250,250,IF(F142&lt;500,500,IF(F142&lt;1000,1000,IF(F142&lt;5000, 5000, 0)))))))</f>
        <v>50</v>
      </c>
      <c r="H142" s="18">
        <f>IF(G142=5, 5, IF(G142=10, 50, IF(G142=50, 100, IF(G142=100, 250, IF(G142=250, 500, IF(G142=500, 1000, IF(G142=1000, 2000, IF(G142=5000, 2000, 0))))))))</f>
        <v>100</v>
      </c>
      <c r="I142" s="18">
        <f>IF(G142=0,"DONE",G142-F142)</f>
        <v>3</v>
      </c>
      <c r="J142" s="20">
        <f>IF(G142=0,0,H142/I142+0.00001*(500-A142))</f>
        <v>33.336963333333337</v>
      </c>
      <c r="K142" s="27" t="s">
        <v>13</v>
      </c>
      <c r="L142" s="1"/>
      <c r="M142" s="1"/>
      <c r="N142" s="1"/>
      <c r="O142" s="1"/>
      <c r="P142" s="1"/>
      <c r="Q142" s="1"/>
      <c r="R142" s="1"/>
    </row>
    <row r="143" spans="1:18" ht="15" customHeight="1" x14ac:dyDescent="0.25">
      <c r="A143" s="22">
        <v>138</v>
      </c>
      <c r="B143" s="23" t="s">
        <v>279</v>
      </c>
      <c r="C143" s="24" t="s">
        <v>280</v>
      </c>
      <c r="D143" s="25">
        <v>5</v>
      </c>
      <c r="E143" s="26">
        <v>1</v>
      </c>
      <c r="F143" s="39">
        <v>57</v>
      </c>
      <c r="G143" s="18">
        <f>IF(F143&lt;5,5,IF(F143&lt;25,25,IF(F143&lt;50,50,IF(F143&lt;125,125,IF(F143&lt;250,250,IF(F143&lt;500,500,IF(F143&lt;2500, 2500, 0)))))))</f>
        <v>125</v>
      </c>
      <c r="H143" s="18">
        <f>IF(G143=5, 50, IF(G143=25, 100, IF(G143=50, 250, IF(G143=125, 500, IF(G143=250, 1000, IF(G143=500, 2000, IF(G143=2500, 2000, 0)))))))</f>
        <v>500</v>
      </c>
      <c r="I143" s="18">
        <f>IF(G143=0,"DONE",G143-F143)</f>
        <v>68</v>
      </c>
      <c r="J143" s="20">
        <f>IF(G143=0,0,H143/I143+0.00001*(500-A143))</f>
        <v>7.3565611764705876</v>
      </c>
      <c r="K143" s="27" t="s">
        <v>58</v>
      </c>
      <c r="L143" s="1"/>
      <c r="M143" s="1"/>
      <c r="N143" s="1"/>
      <c r="O143" s="1"/>
      <c r="P143" s="1"/>
      <c r="Q143" s="1"/>
      <c r="R143" s="1"/>
    </row>
    <row r="144" spans="1:18" ht="15" customHeight="1" x14ac:dyDescent="0.25">
      <c r="A144" s="22">
        <v>139</v>
      </c>
      <c r="B144" s="23" t="s">
        <v>281</v>
      </c>
      <c r="C144" s="24" t="s">
        <v>282</v>
      </c>
      <c r="D144" s="25">
        <v>5</v>
      </c>
      <c r="E144" s="26">
        <v>0</v>
      </c>
      <c r="F144" s="39">
        <v>0</v>
      </c>
      <c r="G144" s="18">
        <f>IF(F144&lt;10,10,IF(F144&lt;50,50,IF(F144&lt;100,100,IF(F144&lt;250,250,IF(F144&lt;500,500,IF(F144&lt;1000,1000,IF(F144&lt;5000, 5000, 0)))))))</f>
        <v>10</v>
      </c>
      <c r="H144" s="18">
        <f>IF(G144=5, 5, IF(G144=10, 50, IF(G144=50, 100, IF(G144=100, 250, IF(G144=250, 500, IF(G144=500, 1000, IF(G144=1000, 2000, IF(G144=5000, 2000, 0))))))))</f>
        <v>50</v>
      </c>
      <c r="I144" s="18">
        <f>IF(G144=0,"DONE",G144-F144)</f>
        <v>10</v>
      </c>
      <c r="J144" s="20">
        <f>IF(G144=0,0,H144/I144+0.00001*(500-A144))</f>
        <v>5.0036100000000001</v>
      </c>
      <c r="K144" s="27" t="s">
        <v>13</v>
      </c>
      <c r="L144" s="1"/>
      <c r="M144" s="1"/>
      <c r="N144" s="1"/>
      <c r="O144" s="1"/>
      <c r="P144" s="1"/>
      <c r="Q144" s="1"/>
      <c r="R144" s="1"/>
    </row>
    <row r="145" spans="1:18" ht="15" customHeight="1" x14ac:dyDescent="0.25">
      <c r="A145" s="22">
        <v>140</v>
      </c>
      <c r="B145" s="23" t="s">
        <v>283</v>
      </c>
      <c r="C145" s="24" t="s">
        <v>284</v>
      </c>
      <c r="D145" s="25">
        <v>5</v>
      </c>
      <c r="E145" s="26">
        <v>0</v>
      </c>
      <c r="F145" s="39">
        <v>3</v>
      </c>
      <c r="G145" s="18">
        <f>IF(F145&lt;10,10,IF(F145&lt;50,50,IF(F145&lt;100,100,IF(F145&lt;250,250,IF(F145&lt;500,500,IF(F145&lt;1000,1000,IF(F145&lt;5000, 5000, 0)))))))</f>
        <v>10</v>
      </c>
      <c r="H145" s="18">
        <f>IF(G145=5, 5, IF(G145=10, 50, IF(G145=50, 100, IF(G145=100, 250, IF(G145=250, 500, IF(G145=500, 1000, IF(G145=1000, 2000, IF(G145=5000, 2000, 0))))))))</f>
        <v>50</v>
      </c>
      <c r="I145" s="18">
        <f>IF(G145=0,"DONE",G145-F145)</f>
        <v>7</v>
      </c>
      <c r="J145" s="20">
        <f>IF(G145=0,0,H145/I145+0.00001*(500-A145))</f>
        <v>7.1464571428571428</v>
      </c>
      <c r="K145" s="27" t="s">
        <v>13</v>
      </c>
      <c r="L145" s="1"/>
      <c r="M145" s="1"/>
      <c r="N145" s="1"/>
      <c r="O145" s="1"/>
      <c r="P145" s="1"/>
      <c r="Q145" s="1"/>
      <c r="R145" s="1"/>
    </row>
    <row r="146" spans="1:18" ht="15" customHeight="1" x14ac:dyDescent="0.25">
      <c r="A146" s="22">
        <v>141</v>
      </c>
      <c r="B146" s="23" t="s">
        <v>285</v>
      </c>
      <c r="C146" s="24" t="s">
        <v>286</v>
      </c>
      <c r="D146" s="25">
        <v>5</v>
      </c>
      <c r="E146" s="26">
        <v>0</v>
      </c>
      <c r="F146" s="39">
        <v>73</v>
      </c>
      <c r="G146" s="18">
        <f>IF(F146&lt;10,10,IF(F146&lt;50,50,IF(F146&lt;100,100,IF(F146&lt;250,250,IF(F146&lt;500,500,IF(F146&lt;1000,1000,IF(F146&lt;5000, 5000, 0)))))))</f>
        <v>100</v>
      </c>
      <c r="H146" s="18">
        <f>IF(G146=5, 5, IF(G146=10, 50, IF(G146=50, 100, IF(G146=100, 250, IF(G146=250, 500, IF(G146=500, 1000, IF(G146=1000, 2000, IF(G146=5000, 2000, 0))))))))</f>
        <v>250</v>
      </c>
      <c r="I146" s="18">
        <f>IF(G146=0,"DONE",G146-F146)</f>
        <v>27</v>
      </c>
      <c r="J146" s="20">
        <f>IF(G146=0,0,H146/I146+0.00001*(500-A146))</f>
        <v>9.2628492592592604</v>
      </c>
      <c r="K146" s="27" t="s">
        <v>13</v>
      </c>
      <c r="L146" s="1"/>
      <c r="M146" s="1"/>
      <c r="N146" s="1"/>
      <c r="O146" s="1"/>
      <c r="P146" s="1"/>
      <c r="Q146" s="1"/>
      <c r="R146" s="1"/>
    </row>
    <row r="147" spans="1:18" ht="15" customHeight="1" x14ac:dyDescent="0.25">
      <c r="A147" s="22">
        <v>142</v>
      </c>
      <c r="B147" s="23" t="s">
        <v>287</v>
      </c>
      <c r="C147" s="24" t="s">
        <v>232</v>
      </c>
      <c r="D147" s="25">
        <v>5</v>
      </c>
      <c r="E147" s="26">
        <v>1</v>
      </c>
      <c r="F147" s="39">
        <v>46</v>
      </c>
      <c r="G147" s="18">
        <f>IF(F147&lt;10,10,IF(F147&lt;50,50,IF(F147&lt;100,100,IF(F147&lt;250,250,IF(F147&lt;500,500,IF(F147&lt;1000,1000,IF(F147&lt;5000, 5000, 0)))))))</f>
        <v>50</v>
      </c>
      <c r="H147" s="18">
        <f>IF(G147=5, 5, IF(G147=10, 50, IF(G147=50, 100, IF(G147=100, 250, IF(G147=250, 500, IF(G147=500, 1000, IF(G147=1000, 2000, IF(G147=5000, 2000, 0))))))))</f>
        <v>100</v>
      </c>
      <c r="I147" s="18">
        <f>IF(G147=0,"DONE",G147-F147)</f>
        <v>4</v>
      </c>
      <c r="J147" s="20">
        <f>IF(G147=0,0,H147/I147+0.00001*(500-A147))</f>
        <v>25.003579999999999</v>
      </c>
      <c r="K147" s="27" t="s">
        <v>58</v>
      </c>
      <c r="L147" s="1"/>
      <c r="M147" s="1"/>
      <c r="N147" s="1"/>
      <c r="O147" s="1"/>
      <c r="P147" s="1"/>
      <c r="Q147" s="1"/>
      <c r="R147" s="1"/>
    </row>
    <row r="148" spans="1:18" ht="15" customHeight="1" x14ac:dyDescent="0.25">
      <c r="A148" s="22">
        <v>143</v>
      </c>
      <c r="B148" s="23" t="s">
        <v>288</v>
      </c>
      <c r="C148" s="24" t="s">
        <v>289</v>
      </c>
      <c r="D148" s="25">
        <v>6</v>
      </c>
      <c r="E148" s="26">
        <v>1</v>
      </c>
      <c r="F148" s="39">
        <v>113</v>
      </c>
      <c r="G148" s="18">
        <f>IF(F148&lt;10,10,IF(F148&lt;50,50,IF(F148&lt;100,100,IF(F148&lt;250,250,IF(F148&lt;500,500,IF(F148&lt;1000,1000,0))))))</f>
        <v>250</v>
      </c>
      <c r="H148" s="18">
        <f>IF(G148=10, 50, IF(G148=50, 100, IF(G148=100, 250, IF(G148=250, 500, IF(G148=500, 1000, IF(G148=1000, 2000, 0))))))</f>
        <v>500</v>
      </c>
      <c r="I148" s="18">
        <f>IF(G148=0,"DONE",G148-F148)</f>
        <v>137</v>
      </c>
      <c r="J148" s="20">
        <f>IF(G148=0,0,H148/I148+0.00001*(500-A148))</f>
        <v>3.6532050364963502</v>
      </c>
      <c r="K148" s="27" t="s">
        <v>13</v>
      </c>
      <c r="L148" s="1"/>
      <c r="M148" s="1"/>
      <c r="N148" s="1"/>
      <c r="O148" s="1"/>
      <c r="P148" s="1"/>
      <c r="Q148" s="1"/>
      <c r="R148" s="1"/>
    </row>
    <row r="149" spans="1:18" ht="15" customHeight="1" x14ac:dyDescent="0.25">
      <c r="A149" s="22">
        <v>144</v>
      </c>
      <c r="B149" s="23" t="s">
        <v>290</v>
      </c>
      <c r="C149" s="24" t="s">
        <v>291</v>
      </c>
      <c r="D149" s="25">
        <v>6</v>
      </c>
      <c r="E149" s="26">
        <v>0</v>
      </c>
      <c r="F149" s="39">
        <v>74</v>
      </c>
      <c r="G149" s="18">
        <f>IF(F149&lt;10,10,IF(F149&lt;50,50,IF(F149&lt;100,100,IF(F149&lt;250,250,IF(F149&lt;500,500,IF(F149&lt;1000,1000,0))))))</f>
        <v>100</v>
      </c>
      <c r="H149" s="18">
        <f>IF(G149=10, 50, IF(G149=50, 100, IF(G149=100, 250, IF(G149=250, 500, IF(G149=500, 1000, IF(G149=1000, 2000, 0))))))</f>
        <v>250</v>
      </c>
      <c r="I149" s="18">
        <f>IF(G149=0,"DONE",G149-F149)</f>
        <v>26</v>
      </c>
      <c r="J149" s="20">
        <f>IF(G149=0,0,H149/I149+0.00001*(500-A149))</f>
        <v>9.6189446153846152</v>
      </c>
      <c r="K149" s="27" t="s">
        <v>13</v>
      </c>
      <c r="L149" s="1"/>
      <c r="M149" s="1"/>
      <c r="N149" s="1"/>
      <c r="O149" s="1"/>
      <c r="P149" s="1"/>
      <c r="Q149" s="1"/>
      <c r="R149" s="1"/>
    </row>
    <row r="150" spans="1:18" ht="15" customHeight="1" x14ac:dyDescent="0.25">
      <c r="A150" s="22">
        <v>145</v>
      </c>
      <c r="B150" s="23" t="s">
        <v>292</v>
      </c>
      <c r="C150" s="24" t="s">
        <v>293</v>
      </c>
      <c r="D150" s="25">
        <v>6</v>
      </c>
      <c r="E150" s="26">
        <v>0</v>
      </c>
      <c r="F150" s="39">
        <v>110</v>
      </c>
      <c r="G150" s="18">
        <f>IF(F150&lt;10,10,IF(F150&lt;50,50,IF(F150&lt;100,100,IF(F150&lt;250,250,IF(F150&lt;500,500,IF(F150&lt;1000,1000,0))))))</f>
        <v>250</v>
      </c>
      <c r="H150" s="18">
        <f>IF(G150=10, 50, IF(G150=50, 100, IF(G150=100, 250, IF(G150=250, 500, IF(G150=500, 1000, IF(G150=1000, 2000, 0))))))</f>
        <v>500</v>
      </c>
      <c r="I150" s="18">
        <f>IF(G150=0,"DONE",G150-F150)</f>
        <v>140</v>
      </c>
      <c r="J150" s="20">
        <f>IF(G150=0,0,H150/I150+0.00001*(500-A150))</f>
        <v>3.5749785714285718</v>
      </c>
      <c r="K150" s="27" t="s">
        <v>13</v>
      </c>
      <c r="L150" s="1"/>
      <c r="M150" s="1"/>
      <c r="N150" s="1"/>
      <c r="O150" s="1"/>
      <c r="P150" s="1"/>
      <c r="Q150" s="1"/>
      <c r="R150" s="1"/>
    </row>
    <row r="151" spans="1:18" ht="15" customHeight="1" x14ac:dyDescent="0.25">
      <c r="A151" s="22">
        <v>146</v>
      </c>
      <c r="B151" s="23" t="s">
        <v>294</v>
      </c>
      <c r="C151" s="24" t="s">
        <v>295</v>
      </c>
      <c r="D151" s="25">
        <v>6</v>
      </c>
      <c r="E151" s="26">
        <v>1</v>
      </c>
      <c r="F151" s="39">
        <v>151</v>
      </c>
      <c r="G151" s="18">
        <f>IF(F151&lt;10,10,IF(F151&lt;50,50,IF(F151&lt;100,100,IF(F151&lt;250,250,IF(F151&lt;500,500,IF(F151&lt;1000,1000,0))))))</f>
        <v>250</v>
      </c>
      <c r="H151" s="18">
        <f>IF(G151=10, 50, IF(G151=50, 100, IF(G151=100, 250, IF(G151=250, 500, IF(G151=500, 1000, IF(G151=1000, 2000, 0))))))</f>
        <v>500</v>
      </c>
      <c r="I151" s="18">
        <f>IF(G151=0,"DONE",G151-F151)</f>
        <v>99</v>
      </c>
      <c r="J151" s="20">
        <f>IF(G151=0,0,H151/I151+0.00001*(500-A151))</f>
        <v>5.0540450505050503</v>
      </c>
      <c r="K151" s="27" t="s">
        <v>13</v>
      </c>
      <c r="L151" s="1"/>
      <c r="M151" s="1"/>
      <c r="N151" s="1"/>
      <c r="O151" s="1"/>
      <c r="P151" s="1"/>
      <c r="Q151" s="1"/>
      <c r="R151" s="1"/>
    </row>
    <row r="152" spans="1:18" ht="15" customHeight="1" x14ac:dyDescent="0.25">
      <c r="A152" s="22">
        <v>147</v>
      </c>
      <c r="B152" s="23" t="s">
        <v>296</v>
      </c>
      <c r="C152" s="24" t="s">
        <v>297</v>
      </c>
      <c r="D152" s="25">
        <v>6</v>
      </c>
      <c r="E152" s="26">
        <v>1</v>
      </c>
      <c r="F152" s="39">
        <v>117</v>
      </c>
      <c r="G152" s="18">
        <f>IF(F152&lt;10,10,IF(F152&lt;50,50,IF(F152&lt;100,100,IF(F152&lt;250,250,IF(F152&lt;500,500,IF(F152&lt;1000,1000,0))))))</f>
        <v>250</v>
      </c>
      <c r="H152" s="18">
        <f>IF(G152=10, 50, IF(G152=50, 100, IF(G152=100, 250, IF(G152=250, 500, IF(G152=500, 1000, IF(G152=1000, 2000, 0))))))</f>
        <v>500</v>
      </c>
      <c r="I152" s="18">
        <f>IF(G152=0,"DONE",G152-F152)</f>
        <v>133</v>
      </c>
      <c r="J152" s="20">
        <f>IF(G152=0,0,H152/I152+0.00001*(500-A152))</f>
        <v>3.7629284962406016</v>
      </c>
      <c r="K152" s="27" t="s">
        <v>13</v>
      </c>
      <c r="L152" s="1"/>
      <c r="M152" s="1"/>
      <c r="N152" s="1"/>
      <c r="O152" s="1"/>
      <c r="P152" s="1"/>
      <c r="Q152" s="1"/>
      <c r="R152" s="1"/>
    </row>
    <row r="153" spans="1:18" ht="15" customHeight="1" x14ac:dyDescent="0.25">
      <c r="A153" s="22">
        <v>148</v>
      </c>
      <c r="B153" s="23" t="s">
        <v>298</v>
      </c>
      <c r="C153" s="24" t="s">
        <v>299</v>
      </c>
      <c r="D153" s="25">
        <v>6</v>
      </c>
      <c r="E153" s="26">
        <v>1</v>
      </c>
      <c r="F153" s="39">
        <v>157</v>
      </c>
      <c r="G153" s="18">
        <f>IF(F153&lt;10,10,IF(F153&lt;50,50,IF(F153&lt;100,100,IF(F153&lt;250,250,IF(F153&lt;500,500,IF(F153&lt;1000,1000,0))))))</f>
        <v>250</v>
      </c>
      <c r="H153" s="18">
        <f>IF(G153=10, 50, IF(G153=50, 100, IF(G153=100, 250, IF(G153=250, 500, IF(G153=500, 1000, IF(G153=1000, 2000, 0))))))</f>
        <v>500</v>
      </c>
      <c r="I153" s="18">
        <f>IF(G153=0,"DONE",G153-F153)</f>
        <v>93</v>
      </c>
      <c r="J153" s="20">
        <f>IF(G153=0,0,H153/I153+0.00001*(500-A153))</f>
        <v>5.379864086021505</v>
      </c>
      <c r="K153" s="27" t="s">
        <v>13</v>
      </c>
      <c r="L153" s="1"/>
      <c r="M153" s="1"/>
      <c r="N153" s="1"/>
      <c r="O153" s="1"/>
      <c r="P153" s="1"/>
      <c r="Q153" s="1"/>
      <c r="R153" s="1"/>
    </row>
    <row r="154" spans="1:18" ht="15" customHeight="1" x14ac:dyDescent="0.25">
      <c r="A154" s="22">
        <v>149</v>
      </c>
      <c r="B154" s="23" t="s">
        <v>300</v>
      </c>
      <c r="C154" s="24" t="s">
        <v>301</v>
      </c>
      <c r="D154" s="25">
        <v>6</v>
      </c>
      <c r="E154" s="26">
        <v>1</v>
      </c>
      <c r="F154" s="39">
        <v>92</v>
      </c>
      <c r="G154" s="18">
        <f>IF(F154&lt;10,10,IF(F154&lt;50,50,IF(F154&lt;100,100,IF(F154&lt;250,250,IF(F154&lt;500,500,IF(F154&lt;1000,1000,0))))))</f>
        <v>100</v>
      </c>
      <c r="H154" s="18">
        <f>IF(G154=10, 50, IF(G154=50, 100, IF(G154=100, 250, IF(G154=250, 500, IF(G154=500, 1000, IF(G154=1000, 2000, 0))))))</f>
        <v>250</v>
      </c>
      <c r="I154" s="18">
        <f>IF(G154=0,"DONE",G154-F154)</f>
        <v>8</v>
      </c>
      <c r="J154" s="20">
        <f>IF(G154=0,0,H154/I154+0.00001*(500-A154))</f>
        <v>31.253509999999999</v>
      </c>
      <c r="K154" s="27" t="s">
        <v>13</v>
      </c>
      <c r="L154" s="1"/>
      <c r="M154" s="1"/>
      <c r="N154" s="1"/>
      <c r="O154" s="1"/>
      <c r="P154" s="1"/>
      <c r="Q154" s="1"/>
      <c r="R154" s="1"/>
    </row>
    <row r="155" spans="1:18" ht="15" customHeight="1" x14ac:dyDescent="0.25">
      <c r="A155" s="22">
        <v>150</v>
      </c>
      <c r="B155" s="23" t="s">
        <v>302</v>
      </c>
      <c r="C155" s="24" t="s">
        <v>303</v>
      </c>
      <c r="D155" s="25">
        <v>6</v>
      </c>
      <c r="E155" s="26">
        <v>1</v>
      </c>
      <c r="F155" s="39">
        <v>177</v>
      </c>
      <c r="G155" s="18">
        <f>IF(F155&lt;10,10,IF(F155&lt;50,50,IF(F155&lt;100,100,IF(F155&lt;250,250,IF(F155&lt;500,500,IF(F155&lt;1000,1000,0))))))</f>
        <v>250</v>
      </c>
      <c r="H155" s="18">
        <f>IF(G155=10, 50, IF(G155=50, 100, IF(G155=100, 250, IF(G155=250, 500, IF(G155=500, 1000, IF(G155=1000, 2000, 0))))))</f>
        <v>500</v>
      </c>
      <c r="I155" s="18">
        <f>IF(G155=0,"DONE",G155-F155)</f>
        <v>73</v>
      </c>
      <c r="J155" s="20">
        <f>IF(G155=0,0,H155/I155+0.00001*(500-A155))</f>
        <v>6.8528150684931504</v>
      </c>
      <c r="K155" s="27" t="s">
        <v>13</v>
      </c>
      <c r="L155" s="1"/>
      <c r="M155" s="1"/>
      <c r="N155" s="1"/>
      <c r="O155" s="1"/>
      <c r="P155" s="1"/>
      <c r="Q155" s="1"/>
      <c r="R155" s="1"/>
    </row>
    <row r="156" spans="1:18" ht="15" customHeight="1" x14ac:dyDescent="0.25">
      <c r="A156" s="22">
        <v>151</v>
      </c>
      <c r="B156" s="23" t="s">
        <v>304</v>
      </c>
      <c r="C156" s="24" t="s">
        <v>305</v>
      </c>
      <c r="D156" s="25">
        <v>6</v>
      </c>
      <c r="E156" s="26">
        <v>0</v>
      </c>
      <c r="F156" s="39">
        <v>54</v>
      </c>
      <c r="G156" s="18">
        <f>IF(F156&lt;10,10,IF(F156&lt;50,50,IF(F156&lt;100,100,IF(F156&lt;250,250,IF(F156&lt;500,500,IF(F156&lt;1000,1000,0))))))</f>
        <v>100</v>
      </c>
      <c r="H156" s="18">
        <f>IF(G156=10, 50, IF(G156=50, 100, IF(G156=100, 250, IF(G156=250, 500, IF(G156=500, 1000, IF(G156=1000, 2000, 0))))))</f>
        <v>250</v>
      </c>
      <c r="I156" s="18">
        <f>IF(G156=0,"DONE",G156-F156)</f>
        <v>46</v>
      </c>
      <c r="J156" s="20">
        <f>IF(G156=0,0,H156/I156+0.00001*(500-A156))</f>
        <v>5.4382726086956525</v>
      </c>
      <c r="K156" s="27" t="s">
        <v>13</v>
      </c>
      <c r="L156" s="1"/>
      <c r="M156" s="1"/>
      <c r="N156" s="1"/>
      <c r="O156" s="1"/>
      <c r="P156" s="1"/>
      <c r="Q156" s="1"/>
      <c r="R156" s="1"/>
    </row>
    <row r="157" spans="1:18" ht="15" customHeight="1" x14ac:dyDescent="0.25">
      <c r="A157" s="22">
        <v>152</v>
      </c>
      <c r="B157" s="23" t="s">
        <v>306</v>
      </c>
      <c r="C157" s="24" t="s">
        <v>307</v>
      </c>
      <c r="D157" s="25">
        <v>6</v>
      </c>
      <c r="E157" s="26">
        <v>0</v>
      </c>
      <c r="F157" s="39">
        <v>18</v>
      </c>
      <c r="G157" s="18">
        <f>IF(F157&lt;10,10,IF(F157&lt;50,50,IF(F157&lt;100,100,IF(F157&lt;250,250,IF(F157&lt;500,500,IF(F157&lt;1000,1000,IF(F157&lt;5000, 5000, 0)))))))</f>
        <v>50</v>
      </c>
      <c r="H157" s="18">
        <f>IF(G157=5, 5, IF(G157=10, 50, IF(G157=50, 100, IF(G157=100, 250, IF(G157=250, 500, IF(G157=500, 1000, IF(G157=1000, 2000, IF(G157=5000, 2000, 0))))))))</f>
        <v>100</v>
      </c>
      <c r="I157" s="18">
        <f>IF(G157=0,"DONE",G157-F157)</f>
        <v>32</v>
      </c>
      <c r="J157" s="20">
        <f>IF(G157=0,0,H157/I157+0.00001*(500-A157))</f>
        <v>3.1284800000000001</v>
      </c>
      <c r="K157" s="27" t="s">
        <v>13</v>
      </c>
      <c r="L157" s="1"/>
      <c r="M157" s="1"/>
      <c r="N157" s="1"/>
      <c r="O157" s="1"/>
      <c r="P157" s="1"/>
      <c r="Q157" s="1"/>
      <c r="R157" s="1"/>
    </row>
    <row r="158" spans="1:18" ht="15" customHeight="1" x14ac:dyDescent="0.25">
      <c r="A158" s="22">
        <v>153</v>
      </c>
      <c r="B158" s="23" t="s">
        <v>308</v>
      </c>
      <c r="C158" s="24" t="s">
        <v>309</v>
      </c>
      <c r="D158" s="25">
        <v>6</v>
      </c>
      <c r="E158" s="26">
        <v>0</v>
      </c>
      <c r="F158" s="39">
        <v>81</v>
      </c>
      <c r="G158" s="18">
        <f>IF(F158&lt;10,10,IF(F158&lt;50,50,IF(F158&lt;100,100,IF(F158&lt;250,250,IF(F158&lt;500,500,IF(F158&lt;1000,1000,IF(F158&lt;5000, 5000, 0)))))))</f>
        <v>100</v>
      </c>
      <c r="H158" s="18">
        <f>IF(G158=5, 5, IF(G158=10, 50, IF(G158=50, 100, IF(G158=100, 250, IF(G158=250, 500, IF(G158=500, 1000, IF(G158=1000, 2000, IF(G158=5000, 2000, 0))))))))</f>
        <v>250</v>
      </c>
      <c r="I158" s="18">
        <f>IF(G158=0,"DONE",G158-F158)</f>
        <v>19</v>
      </c>
      <c r="J158" s="20">
        <f>IF(G158=0,0,H158/I158+0.00001*(500-A158))</f>
        <v>13.161364736842105</v>
      </c>
      <c r="K158" s="27" t="s">
        <v>13</v>
      </c>
      <c r="L158" s="1"/>
      <c r="M158" s="1"/>
      <c r="N158" s="1"/>
      <c r="O158" s="1"/>
      <c r="P158" s="1"/>
      <c r="Q158" s="1"/>
      <c r="R158" s="1"/>
    </row>
    <row r="159" spans="1:18" ht="15" customHeight="1" x14ac:dyDescent="0.25">
      <c r="A159" s="22">
        <v>154</v>
      </c>
      <c r="B159" s="23" t="s">
        <v>310</v>
      </c>
      <c r="C159" s="24" t="s">
        <v>311</v>
      </c>
      <c r="D159" s="25">
        <v>6</v>
      </c>
      <c r="E159" s="26">
        <v>1</v>
      </c>
      <c r="F159" s="39">
        <v>117</v>
      </c>
      <c r="G159" s="18">
        <f>IF(F159&lt;10,10,IF(F159&lt;50,50,IF(F159&lt;100,100,IF(F159&lt;250,250,IF(F159&lt;500,500,IF(F159&lt;1000,1000,IF(F159&lt;5000, 5000, 0)))))))</f>
        <v>250</v>
      </c>
      <c r="H159" s="18">
        <f>IF(G159=5, 5, IF(G159=10, 50, IF(G159=50, 100, IF(G159=100, 250, IF(G159=250, 500, IF(G159=500, 1000, IF(G159=1000, 2000, IF(G159=5000, 2000, 0))))))))</f>
        <v>500</v>
      </c>
      <c r="I159" s="18">
        <f>IF(G159=0,"DONE",G159-F159)</f>
        <v>133</v>
      </c>
      <c r="J159" s="20">
        <f>IF(G159=0,0,H159/I159+0.00001*(500-A159))</f>
        <v>3.7628584962406015</v>
      </c>
      <c r="K159" s="27" t="s">
        <v>13</v>
      </c>
      <c r="L159" s="1"/>
      <c r="M159" s="1"/>
      <c r="N159" s="1"/>
      <c r="O159" s="1"/>
      <c r="P159" s="1"/>
      <c r="Q159" s="1"/>
      <c r="R159" s="1"/>
    </row>
    <row r="160" spans="1:18" ht="15" customHeight="1" x14ac:dyDescent="0.25">
      <c r="A160" s="22">
        <v>155</v>
      </c>
      <c r="B160" s="23" t="s">
        <v>312</v>
      </c>
      <c r="C160" s="24" t="s">
        <v>255</v>
      </c>
      <c r="D160" s="25">
        <v>6</v>
      </c>
      <c r="E160" s="26">
        <v>0</v>
      </c>
      <c r="F160" s="39">
        <v>30</v>
      </c>
      <c r="G160" s="18">
        <f>IF(F160&lt;5,5,IF(F160&lt;25,25,IF(F160&lt;50,50,IF(F160&lt;125,125,IF(F160&lt;250,250,IF(F160&lt;500,500,IF(F160&lt;2500, 2500, 0)))))))</f>
        <v>50</v>
      </c>
      <c r="H160" s="18">
        <f>IF(G160=5, 50, IF(G160=25, 100, IF(G160=50, 250, IF(G160=125, 500, IF(G160=250, 1000, IF(G160=500, 2000, IF(G160=2500, 2000, 0)))))))</f>
        <v>250</v>
      </c>
      <c r="I160" s="18">
        <f>IF(G160=0,"DONE",G160-F160)</f>
        <v>20</v>
      </c>
      <c r="J160" s="20">
        <f>IF(G160=0,0,H160/I160+0.00001*(500-A160))</f>
        <v>12.503450000000001</v>
      </c>
      <c r="K160" s="27" t="s">
        <v>58</v>
      </c>
      <c r="L160" s="1"/>
      <c r="M160" s="1"/>
      <c r="N160" s="1"/>
      <c r="O160" s="1"/>
      <c r="P160" s="1"/>
      <c r="Q160" s="1"/>
      <c r="R160" s="1"/>
    </row>
    <row r="161" spans="1:18" ht="15" customHeight="1" x14ac:dyDescent="0.25">
      <c r="A161" s="22">
        <v>156</v>
      </c>
      <c r="B161" s="23" t="s">
        <v>313</v>
      </c>
      <c r="C161" s="24" t="s">
        <v>314</v>
      </c>
      <c r="D161" s="25">
        <v>6</v>
      </c>
      <c r="E161" s="26">
        <v>0</v>
      </c>
      <c r="F161" s="39">
        <v>41</v>
      </c>
      <c r="G161" s="18">
        <f>IF(F161&lt;10,10,IF(F161&lt;50,50,IF(F161&lt;100,100,IF(F161&lt;250,250,IF(F161&lt;500,500,IF(F161&lt;1000,1000,IF(F161&lt;5000, 5000, 0)))))))</f>
        <v>50</v>
      </c>
      <c r="H161" s="18">
        <f>IF(G161=5, 5, IF(G161=10, 50, IF(G161=50, 100, IF(G161=100, 250, IF(G161=250, 500, IF(G161=500, 1000, IF(G161=1000, 2000, IF(G161=5000, 2000, 0))))))))</f>
        <v>100</v>
      </c>
      <c r="I161" s="18">
        <f>IF(G161=0,"DONE",G161-F161)</f>
        <v>9</v>
      </c>
      <c r="J161" s="20">
        <f>IF(G161=0,0,H161/I161+0.00001*(500-A161))</f>
        <v>11.11455111111111</v>
      </c>
      <c r="K161" s="27" t="s">
        <v>13</v>
      </c>
      <c r="L161" s="1"/>
      <c r="M161" s="1"/>
      <c r="N161" s="1"/>
      <c r="O161" s="1"/>
      <c r="P161" s="1"/>
      <c r="Q161" s="1"/>
      <c r="R161" s="1"/>
    </row>
    <row r="162" spans="1:18" ht="15" customHeight="1" x14ac:dyDescent="0.25">
      <c r="A162" s="22">
        <v>157</v>
      </c>
      <c r="B162" s="23" t="s">
        <v>315</v>
      </c>
      <c r="C162" s="24" t="s">
        <v>316</v>
      </c>
      <c r="D162" s="25">
        <v>6</v>
      </c>
      <c r="E162" s="26">
        <v>0</v>
      </c>
      <c r="F162" s="39">
        <v>38</v>
      </c>
      <c r="G162" s="18">
        <f>IF(F162&lt;10,10,IF(F162&lt;50,50,IF(F162&lt;100,100,IF(F162&lt;250,250,IF(F162&lt;500,500,IF(F162&lt;1000,1000,0))))))</f>
        <v>50</v>
      </c>
      <c r="H162" s="18">
        <f>IF(G162=10, 50, IF(G162=50, 100, IF(G162=100, 250, IF(G162=250, 500, IF(G162=500, 1000, IF(G162=1000, 2000, 0))))))</f>
        <v>100</v>
      </c>
      <c r="I162" s="18">
        <f>IF(G162=0,"DONE",G162-F162)</f>
        <v>12</v>
      </c>
      <c r="J162" s="20">
        <f>IF(G162=0,0,H162/I162+0.00001*(500-A162))</f>
        <v>8.3367633333333337</v>
      </c>
      <c r="K162" s="27" t="s">
        <v>13</v>
      </c>
      <c r="L162" s="1"/>
      <c r="M162" s="1"/>
      <c r="N162" s="1"/>
      <c r="O162" s="1"/>
      <c r="P162" s="1"/>
      <c r="Q162" s="1"/>
      <c r="R162" s="1"/>
    </row>
    <row r="163" spans="1:18" ht="15" customHeight="1" x14ac:dyDescent="0.25">
      <c r="A163" s="22">
        <v>158</v>
      </c>
      <c r="B163" s="28" t="s">
        <v>317</v>
      </c>
      <c r="C163" s="24" t="s">
        <v>311</v>
      </c>
      <c r="D163" s="25">
        <v>6</v>
      </c>
      <c r="E163" s="26">
        <v>1</v>
      </c>
      <c r="F163" s="39">
        <v>172</v>
      </c>
      <c r="G163" s="18">
        <f>IF(F163&lt;10,10,IF(F163&lt;50,50,IF(F163&lt;100,100,IF(F163&lt;250,250,IF(F163&lt;500,500,IF(F163&lt;1000,1000,IF(F163&lt;5000, 5000, 0)))))))</f>
        <v>250</v>
      </c>
      <c r="H163" s="18">
        <f>IF(G163=5, 5, IF(G163=10, 50, IF(G163=50, 100, IF(G163=100, 250, IF(G163=250, 500, IF(G163=500, 1000, IF(G163=1000, 2000, IF(G163=5000, 2000, 0))))))))</f>
        <v>500</v>
      </c>
      <c r="I163" s="18">
        <f>IF(G163=0,"DONE",G163-F163)</f>
        <v>78</v>
      </c>
      <c r="J163" s="20">
        <f>IF(G163=0,0,H163/I163+0.00001*(500-A163))</f>
        <v>6.4136764102564108</v>
      </c>
      <c r="K163" s="27" t="s">
        <v>58</v>
      </c>
      <c r="L163" s="1"/>
      <c r="M163" s="1"/>
      <c r="N163" s="1"/>
      <c r="O163" s="1"/>
      <c r="P163" s="1"/>
      <c r="Q163" s="1"/>
      <c r="R163" s="1"/>
    </row>
    <row r="164" spans="1:18" ht="15" customHeight="1" x14ac:dyDescent="0.25">
      <c r="A164" s="22">
        <v>159</v>
      </c>
      <c r="B164" s="28" t="s">
        <v>318</v>
      </c>
      <c r="C164" s="24" t="s">
        <v>319</v>
      </c>
      <c r="D164" s="25">
        <v>6</v>
      </c>
      <c r="E164" s="26">
        <v>1</v>
      </c>
      <c r="F164" s="39">
        <v>129</v>
      </c>
      <c r="G164" s="18">
        <f>IF(F164&lt;10,10,IF(F164&lt;50,50,IF(F164&lt;100,100,IF(F164&lt;250,250,IF(F164&lt;500,500,IF(F164&lt;1000,1000,IF(F164&lt;5000, 5000, 0)))))))</f>
        <v>250</v>
      </c>
      <c r="H164" s="18">
        <f>IF(G164=5, 5, IF(G164=10, 50, IF(G164=50, 100, IF(G164=100, 250, IF(G164=250, 500, IF(G164=500, 1000, IF(G164=1000, 2000, IF(G164=5000, 2000, 0))))))))</f>
        <v>500</v>
      </c>
      <c r="I164" s="18">
        <f>IF(G164=0,"DONE",G164-F164)</f>
        <v>121</v>
      </c>
      <c r="J164" s="20">
        <f>IF(G164=0,0,H164/I164+0.00001*(500-A164))</f>
        <v>4.1356414049586769</v>
      </c>
      <c r="K164" s="27" t="s">
        <v>13</v>
      </c>
      <c r="L164" s="1"/>
      <c r="M164" s="1"/>
      <c r="N164" s="1"/>
      <c r="O164" s="1"/>
      <c r="P164" s="1"/>
      <c r="Q164" s="1"/>
      <c r="R164" s="1"/>
    </row>
    <row r="165" spans="1:18" ht="15" customHeight="1" x14ac:dyDescent="0.25">
      <c r="A165" s="22">
        <v>160</v>
      </c>
      <c r="B165" s="28" t="s">
        <v>320</v>
      </c>
      <c r="C165" s="24" t="s">
        <v>319</v>
      </c>
      <c r="D165" s="25">
        <v>6</v>
      </c>
      <c r="E165" s="26">
        <v>1</v>
      </c>
      <c r="F165" s="39">
        <v>282</v>
      </c>
      <c r="G165" s="18">
        <f>IF(F165&lt;10,10,IF(F165&lt;50,50,IF(F165&lt;100,100,IF(F165&lt;250,250,IF(F165&lt;500,500,IF(F165&lt;1000,1000,IF(F165&lt;5000, 5000, 0)))))))</f>
        <v>500</v>
      </c>
      <c r="H165" s="18">
        <f>IF(G165=5, 5, IF(G165=10, 50, IF(G165=50, 100, IF(G165=100, 250, IF(G165=250, 500, IF(G165=500, 1000, IF(G165=1000, 2000, IF(G165=5000, 2000, 0))))))))</f>
        <v>1000</v>
      </c>
      <c r="I165" s="18">
        <f>IF(G165=0,"DONE",G165-F165)</f>
        <v>218</v>
      </c>
      <c r="J165" s="20">
        <f>IF(G165=0,0,H165/I165+0.00001*(500-A165))</f>
        <v>4.5905559633027524</v>
      </c>
      <c r="K165" s="27" t="s">
        <v>58</v>
      </c>
      <c r="L165" s="1"/>
      <c r="M165" s="1"/>
      <c r="N165" s="1"/>
      <c r="O165" s="1"/>
      <c r="P165" s="1"/>
      <c r="Q165" s="1"/>
      <c r="R165" s="1"/>
    </row>
    <row r="166" spans="1:18" ht="15" customHeight="1" x14ac:dyDescent="0.25">
      <c r="A166" s="22">
        <v>161</v>
      </c>
      <c r="B166" s="28" t="s">
        <v>321</v>
      </c>
      <c r="C166" s="24" t="s">
        <v>322</v>
      </c>
      <c r="D166" s="25">
        <v>6</v>
      </c>
      <c r="E166" s="26">
        <v>0</v>
      </c>
      <c r="F166" s="39">
        <v>4</v>
      </c>
      <c r="G166" s="18">
        <f>IF(F166&lt;10,10,IF(F166&lt;50,50,IF(F166&lt;100,100,IF(F166&lt;250,250,IF(F166&lt;500,500,IF(F166&lt;1000,1000,IF(F166&lt;5000, 5000, 0)))))))</f>
        <v>10</v>
      </c>
      <c r="H166" s="18">
        <f>IF(G166=5, 5, IF(G166=10, 50, IF(G166=50, 100, IF(G166=100, 250, IF(G166=250, 500, IF(G166=500, 1000, IF(G166=1000, 2000, IF(G166=5000, 2000, 0))))))))</f>
        <v>50</v>
      </c>
      <c r="I166" s="18">
        <f>IF(G166=0,"DONE",G166-F166)</f>
        <v>6</v>
      </c>
      <c r="J166" s="20">
        <f>IF(G166=0,0,H166/I166+0.00001*(500-A166))</f>
        <v>8.3367233333333335</v>
      </c>
      <c r="K166" s="27" t="s">
        <v>13</v>
      </c>
      <c r="L166" s="1"/>
      <c r="M166" s="1"/>
      <c r="N166" s="1"/>
      <c r="O166" s="1"/>
      <c r="P166" s="1"/>
      <c r="Q166" s="1"/>
      <c r="R166" s="1"/>
    </row>
    <row r="167" spans="1:18" ht="15" customHeight="1" x14ac:dyDescent="0.25">
      <c r="A167" s="22">
        <v>162</v>
      </c>
      <c r="B167" s="28" t="s">
        <v>323</v>
      </c>
      <c r="C167" s="24" t="s">
        <v>324</v>
      </c>
      <c r="D167" s="25">
        <v>6</v>
      </c>
      <c r="E167" s="26">
        <v>0</v>
      </c>
      <c r="F167" s="39">
        <v>0</v>
      </c>
      <c r="G167" s="18">
        <f>IF(F167&lt;10,10,IF(F167&lt;50,50,IF(F167&lt;100,100,IF(F167&lt;250,250,IF(F167&lt;500,500,IF(F167&lt;1000,1000,IF(F167&lt;5000, 5000, 0)))))))</f>
        <v>10</v>
      </c>
      <c r="H167" s="18">
        <f>IF(G167=5, 5, IF(G167=10, 50, IF(G167=50, 100, IF(G167=100, 250, IF(G167=250, 500, IF(G167=500, 1000, IF(G167=1000, 2000, IF(G167=5000, 2000, 0))))))))</f>
        <v>50</v>
      </c>
      <c r="I167" s="18">
        <f>IF(G167=0,"DONE",G167-F167)</f>
        <v>10</v>
      </c>
      <c r="J167" s="20">
        <f>IF(G167=0,0,H167/I167+0.00001*(500-A167))</f>
        <v>5.0033799999999999</v>
      </c>
      <c r="K167" s="27" t="s">
        <v>13</v>
      </c>
      <c r="L167" s="1"/>
      <c r="M167" s="1"/>
      <c r="N167" s="1"/>
      <c r="O167" s="1"/>
      <c r="P167" s="1"/>
      <c r="Q167" s="1"/>
      <c r="R167" s="1"/>
    </row>
    <row r="168" spans="1:18" ht="15" customHeight="1" x14ac:dyDescent="0.25">
      <c r="A168" s="22">
        <v>163</v>
      </c>
      <c r="B168" s="28" t="s">
        <v>325</v>
      </c>
      <c r="C168" s="24" t="s">
        <v>326</v>
      </c>
      <c r="D168" s="25">
        <v>1</v>
      </c>
      <c r="E168" s="26" t="s">
        <v>389</v>
      </c>
      <c r="F168" s="39">
        <v>36</v>
      </c>
      <c r="G168" s="18">
        <f>IF(F168&lt;10,10,IF(F168&lt;50,50,IF(F168&lt;100,100,IF(F168&lt;250,250,IF(F168&lt;500,500,IF(F168&lt;1000,1000,IF(F168&lt;5000, 5000, 0)))))))</f>
        <v>50</v>
      </c>
      <c r="H168" s="18">
        <f>IF(G168=5, 5, IF(G168=10, 25, IF(G168=50, 50, IF(G168=100, 100, IF(G168=250, 250, IF(G168=500, 500, IF(G168=1000, 1000, IF(G168=5000, 2000, 0))))))))</f>
        <v>50</v>
      </c>
      <c r="I168" s="18">
        <f>IF(G168=0,"DONE",G168-F168)</f>
        <v>14</v>
      </c>
      <c r="J168" s="20">
        <f>IF(G168=0,0,H168/I168+0.00001*(500-A168))</f>
        <v>3.5747985714285715</v>
      </c>
      <c r="K168" s="27" t="s">
        <v>327</v>
      </c>
      <c r="L168" s="1"/>
      <c r="M168" s="1"/>
      <c r="N168" s="1"/>
      <c r="O168" s="1"/>
      <c r="P168" s="1"/>
      <c r="Q168" s="1"/>
      <c r="R168" s="1"/>
    </row>
    <row r="169" spans="1:18" ht="15" customHeight="1" x14ac:dyDescent="0.25">
      <c r="A169" s="22">
        <v>164</v>
      </c>
      <c r="B169" s="28" t="s">
        <v>328</v>
      </c>
      <c r="C169" s="24" t="s">
        <v>326</v>
      </c>
      <c r="D169" s="25">
        <v>2</v>
      </c>
      <c r="E169" s="26" t="s">
        <v>389</v>
      </c>
      <c r="F169" s="39">
        <v>22</v>
      </c>
      <c r="G169" s="18">
        <f>IF(F169&lt;10,10,IF(F169&lt;50,50,IF(F169&lt;100,100,IF(F169&lt;250,250,IF(F169&lt;500,500,IF(F169&lt;1000,1000,0))))))</f>
        <v>50</v>
      </c>
      <c r="H169" s="18">
        <f>IF(G169=10, 50, IF(G169=50, 100, IF(G169=100, 250, IF(G169=250, 500, IF(G169=500, 1000, IF(G169=1000, 2000, 0))))))</f>
        <v>100</v>
      </c>
      <c r="I169" s="18">
        <f>IF(G169=0,"DONE",G169-F169)</f>
        <v>28</v>
      </c>
      <c r="J169" s="20">
        <f>IF(G169=0,0,H169/I169+0.00001*(500-A169))</f>
        <v>3.5747885714285714</v>
      </c>
      <c r="K169" s="27" t="s">
        <v>327</v>
      </c>
      <c r="L169" s="1"/>
      <c r="M169" s="1"/>
      <c r="N169" s="1"/>
      <c r="O169" s="1"/>
      <c r="P169" s="1"/>
      <c r="Q169" s="1"/>
      <c r="R169" s="1"/>
    </row>
    <row r="170" spans="1:18" ht="15" customHeight="1" x14ac:dyDescent="0.25">
      <c r="A170" s="22">
        <v>165</v>
      </c>
      <c r="B170" s="28" t="s">
        <v>329</v>
      </c>
      <c r="C170" s="24" t="s">
        <v>326</v>
      </c>
      <c r="D170" s="25">
        <v>3</v>
      </c>
      <c r="E170" s="26" t="s">
        <v>389</v>
      </c>
      <c r="F170" s="39">
        <v>26</v>
      </c>
      <c r="G170" s="18">
        <f>IF(F170&lt;10,10,IF(F170&lt;50,50,IF(F170&lt;100,100,IF(F170&lt;250,250,IF(F170&lt;500,500,IF(F170&lt;1000,1000,0))))))</f>
        <v>50</v>
      </c>
      <c r="H170" s="18">
        <f>IF(G170=10, 50, IF(G170=50, 100, IF(G170=100, 250, IF(G170=250, 500, IF(G170=500, 1000, IF(G170=1000, 2000, 0))))))</f>
        <v>100</v>
      </c>
      <c r="I170" s="18">
        <f>IF(G170=0,"DONE",G170-F170)</f>
        <v>24</v>
      </c>
      <c r="J170" s="20">
        <f>IF(G170=0,0,H170/I170+0.00001*(500-A170))</f>
        <v>4.1700166666666671</v>
      </c>
      <c r="K170" s="27" t="s">
        <v>327</v>
      </c>
      <c r="L170" s="1"/>
      <c r="M170" s="1"/>
      <c r="N170" s="1"/>
      <c r="O170" s="1"/>
      <c r="P170" s="1"/>
      <c r="Q170" s="1"/>
      <c r="R170" s="1"/>
    </row>
    <row r="171" spans="1:18" ht="15" customHeight="1" x14ac:dyDescent="0.25">
      <c r="A171" s="22">
        <v>166</v>
      </c>
      <c r="B171" s="28" t="s">
        <v>330</v>
      </c>
      <c r="C171" s="24" t="s">
        <v>326</v>
      </c>
      <c r="D171" s="25">
        <v>1</v>
      </c>
      <c r="E171" s="26" t="s">
        <v>389</v>
      </c>
      <c r="F171" s="39">
        <v>37</v>
      </c>
      <c r="G171" s="18">
        <f>IF(F171&lt;10,10,IF(F171&lt;50,50,IF(F171&lt;100,100,IF(F171&lt;250,250,IF(F171&lt;500,500,IF(F171&lt;1000,1000,IF(F171&lt;5000, 5000, 0)))))))</f>
        <v>50</v>
      </c>
      <c r="H171" s="18">
        <f>IF(G171=5, 5, IF(G171=10, 25, IF(G171=50, 50, IF(G171=100, 100, IF(G171=250, 250, IF(G171=500, 500, IF(G171=1000, 1000, IF(G171=5000, 2000, 0))))))))</f>
        <v>50</v>
      </c>
      <c r="I171" s="18">
        <f>IF(G171=0,"DONE",G171-F171)</f>
        <v>13</v>
      </c>
      <c r="J171" s="20">
        <f>IF(G171=0,0,H171/I171+0.00001*(500-A171))</f>
        <v>3.8494938461538464</v>
      </c>
      <c r="K171" s="27" t="s">
        <v>327</v>
      </c>
      <c r="L171" s="1"/>
      <c r="M171" s="1"/>
      <c r="N171" s="1"/>
      <c r="O171" s="1"/>
      <c r="P171" s="1"/>
      <c r="Q171" s="1"/>
      <c r="R171" s="1"/>
    </row>
    <row r="172" spans="1:18" ht="15" customHeight="1" x14ac:dyDescent="0.25">
      <c r="A172" s="22">
        <v>167</v>
      </c>
      <c r="B172" s="28" t="s">
        <v>331</v>
      </c>
      <c r="C172" s="24" t="s">
        <v>326</v>
      </c>
      <c r="D172" s="25">
        <v>2</v>
      </c>
      <c r="E172" s="26" t="s">
        <v>389</v>
      </c>
      <c r="F172" s="39">
        <v>17</v>
      </c>
      <c r="G172" s="18">
        <f>IF(F172&lt;10,10,IF(F172&lt;50,50,IF(F172&lt;100,100,IF(F172&lt;250,250,IF(F172&lt;500,500,IF(F172&lt;1000,1000,0))))))</f>
        <v>50</v>
      </c>
      <c r="H172" s="18">
        <f>IF(G172=10, 50, IF(G172=50, 100, IF(G172=100, 250, IF(G172=250, 500, IF(G172=500, 1000, IF(G172=1000, 2000, 0))))))</f>
        <v>100</v>
      </c>
      <c r="I172" s="18">
        <f>IF(G172=0,"DONE",G172-F172)</f>
        <v>33</v>
      </c>
      <c r="J172" s="20">
        <f>IF(G172=0,0,H172/I172+0.00001*(500-A172))</f>
        <v>3.0336330303030303</v>
      </c>
      <c r="K172" s="27" t="s">
        <v>327</v>
      </c>
      <c r="L172" s="1"/>
      <c r="M172" s="1"/>
      <c r="N172" s="1"/>
      <c r="O172" s="1"/>
      <c r="P172" s="1"/>
      <c r="Q172" s="1"/>
      <c r="R172" s="1"/>
    </row>
    <row r="173" spans="1:18" ht="15" customHeight="1" x14ac:dyDescent="0.25">
      <c r="A173" s="22">
        <v>168</v>
      </c>
      <c r="B173" s="28" t="s">
        <v>332</v>
      </c>
      <c r="C173" s="24" t="s">
        <v>326</v>
      </c>
      <c r="D173" s="25">
        <v>3</v>
      </c>
      <c r="E173" s="26" t="s">
        <v>389</v>
      </c>
      <c r="F173" s="39">
        <v>15</v>
      </c>
      <c r="G173" s="18">
        <f>IF(F173&lt;10,10,IF(F173&lt;50,50,IF(F173&lt;100,100,IF(F173&lt;250,250,IF(F173&lt;500,500,IF(F173&lt;1000,1000,0))))))</f>
        <v>50</v>
      </c>
      <c r="H173" s="18">
        <f>IF(G173=10, 50, IF(G173=50, 100, IF(G173=100, 250, IF(G173=250, 500, IF(G173=500, 1000, IF(G173=1000, 2000, 0))))))</f>
        <v>100</v>
      </c>
      <c r="I173" s="18">
        <f>IF(G173=0,"DONE",G173-F173)</f>
        <v>35</v>
      </c>
      <c r="J173" s="20">
        <f>IF(G173=0,0,H173/I173+0.00001*(500-A173))</f>
        <v>2.8604628571428572</v>
      </c>
      <c r="K173" s="27" t="s">
        <v>327</v>
      </c>
      <c r="L173" s="1"/>
      <c r="M173" s="1"/>
      <c r="N173" s="1"/>
      <c r="O173" s="1"/>
      <c r="P173" s="1"/>
      <c r="Q173" s="1"/>
      <c r="R173" s="1"/>
    </row>
    <row r="174" spans="1:18" ht="15" customHeight="1" x14ac:dyDescent="0.25">
      <c r="A174" s="22">
        <v>169</v>
      </c>
      <c r="B174" s="28" t="s">
        <v>333</v>
      </c>
      <c r="C174" s="24" t="s">
        <v>326</v>
      </c>
      <c r="D174" s="25">
        <v>1</v>
      </c>
      <c r="E174" s="26" t="s">
        <v>389</v>
      </c>
      <c r="F174" s="39">
        <v>20</v>
      </c>
      <c r="G174" s="18">
        <f>IF(F174&lt;10,10,IF(F174&lt;50,50,IF(F174&lt;100,100,IF(F174&lt;250,250,IF(F174&lt;500,500,IF(F174&lt;1000,1000,IF(F174&lt;5000, 5000, 0)))))))</f>
        <v>50</v>
      </c>
      <c r="H174" s="18">
        <f>IF(G174=5, 5, IF(G174=10, 25, IF(G174=50, 50, IF(G174=100, 100, IF(G174=250, 250, IF(G174=500, 500, IF(G174=1000, 1000, IF(G174=5000, 2000, 0))))))))</f>
        <v>50</v>
      </c>
      <c r="I174" s="18">
        <f>IF(G174=0,"DONE",G174-F174)</f>
        <v>30</v>
      </c>
      <c r="J174" s="20">
        <f>IF(G174=0,0,H174/I174+0.00001*(500-A174))</f>
        <v>1.6699766666666667</v>
      </c>
      <c r="K174" s="27" t="s">
        <v>327</v>
      </c>
      <c r="L174" s="1"/>
      <c r="M174" s="1"/>
      <c r="N174" s="1"/>
      <c r="O174" s="1"/>
      <c r="P174" s="1"/>
      <c r="Q174" s="1"/>
      <c r="R174" s="1"/>
    </row>
    <row r="175" spans="1:18" ht="15" customHeight="1" x14ac:dyDescent="0.25">
      <c r="A175" s="22">
        <v>170</v>
      </c>
      <c r="B175" s="28" t="s">
        <v>334</v>
      </c>
      <c r="C175" s="24" t="s">
        <v>326</v>
      </c>
      <c r="D175" s="25">
        <v>2</v>
      </c>
      <c r="E175" s="26" t="s">
        <v>389</v>
      </c>
      <c r="F175" s="39">
        <v>17</v>
      </c>
      <c r="G175" s="18">
        <f>IF(F175&lt;10,10,IF(F175&lt;50,50,IF(F175&lt;100,100,IF(F175&lt;250,250,IF(F175&lt;500,500,IF(F175&lt;1000,1000,0))))))</f>
        <v>50</v>
      </c>
      <c r="H175" s="18">
        <f>IF(G175=10, 50, IF(G175=50, 100, IF(G175=100, 250, IF(G175=250, 500, IF(G175=500, 1000, IF(G175=1000, 2000, 0))))))</f>
        <v>100</v>
      </c>
      <c r="I175" s="18">
        <f>IF(G175=0,"DONE",G175-F175)</f>
        <v>33</v>
      </c>
      <c r="J175" s="20">
        <f>IF(G175=0,0,H175/I175+0.00001*(500-A175))</f>
        <v>3.0336030303030301</v>
      </c>
      <c r="K175" s="27" t="s">
        <v>327</v>
      </c>
      <c r="L175" s="1"/>
      <c r="M175" s="1"/>
      <c r="N175" s="1"/>
      <c r="O175" s="1"/>
      <c r="P175" s="1"/>
      <c r="Q175" s="1"/>
      <c r="R175" s="1"/>
    </row>
    <row r="176" spans="1:18" ht="15" customHeight="1" x14ac:dyDescent="0.25">
      <c r="A176" s="22">
        <v>171</v>
      </c>
      <c r="B176" s="28" t="s">
        <v>335</v>
      </c>
      <c r="C176" s="24" t="s">
        <v>326</v>
      </c>
      <c r="D176" s="25">
        <v>3</v>
      </c>
      <c r="E176" s="26" t="s">
        <v>389</v>
      </c>
      <c r="F176" s="39">
        <v>19</v>
      </c>
      <c r="G176" s="18">
        <f>IF(F176&lt;10,10,IF(F176&lt;50,50,IF(F176&lt;100,100,IF(F176&lt;250,250,IF(F176&lt;500,500,IF(F176&lt;1000,1000,0))))))</f>
        <v>50</v>
      </c>
      <c r="H176" s="18">
        <f>IF(G176=10, 50, IF(G176=50, 100, IF(G176=100, 250, IF(G176=250, 500, IF(G176=500, 1000, IF(G176=1000, 2000, 0))))))</f>
        <v>100</v>
      </c>
      <c r="I176" s="18">
        <f>IF(G176=0,"DONE",G176-F176)</f>
        <v>31</v>
      </c>
      <c r="J176" s="20">
        <f>IF(G176=0,0,H176/I176+0.00001*(500-A176))</f>
        <v>3.2290964516129028</v>
      </c>
      <c r="K176" s="27" t="s">
        <v>327</v>
      </c>
      <c r="L176" s="1"/>
      <c r="M176" s="1"/>
      <c r="N176" s="1"/>
      <c r="O176" s="1"/>
      <c r="P176" s="1"/>
      <c r="Q176" s="1"/>
      <c r="R176" s="1"/>
    </row>
    <row r="177" spans="1:18" ht="15" customHeight="1" x14ac:dyDescent="0.25">
      <c r="A177" s="22">
        <v>172</v>
      </c>
      <c r="B177" s="28" t="s">
        <v>336</v>
      </c>
      <c r="C177" s="24" t="s">
        <v>326</v>
      </c>
      <c r="D177" s="25">
        <v>1</v>
      </c>
      <c r="E177" s="26" t="s">
        <v>389</v>
      </c>
      <c r="F177" s="39">
        <v>14</v>
      </c>
      <c r="G177" s="18">
        <f>IF(F177&lt;10,10,IF(F177&lt;50,50,IF(F177&lt;100,100,IF(F177&lt;250,250,IF(F177&lt;500,500,IF(F177&lt;1000,1000,IF(F177&lt;5000, 5000, 0)))))))</f>
        <v>50</v>
      </c>
      <c r="H177" s="18">
        <f>IF(G177=5, 5, IF(G177=10, 25, IF(G177=50, 50, IF(G177=100, 100, IF(G177=250, 250, IF(G177=500, 500, IF(G177=1000, 1000, IF(G177=5000, 2000, 0))))))))</f>
        <v>50</v>
      </c>
      <c r="I177" s="18">
        <f>IF(G177=0,"DONE",G177-F177)</f>
        <v>36</v>
      </c>
      <c r="J177" s="20">
        <f>IF(G177=0,0,H177/I177+0.00001*(500-A177))</f>
        <v>1.3921688888888888</v>
      </c>
      <c r="K177" s="27" t="s">
        <v>327</v>
      </c>
      <c r="L177" s="1"/>
      <c r="M177" s="1"/>
      <c r="N177" s="1"/>
      <c r="O177" s="1"/>
      <c r="P177" s="1"/>
      <c r="Q177" s="1"/>
      <c r="R177" s="1"/>
    </row>
    <row r="178" spans="1:18" ht="15" customHeight="1" x14ac:dyDescent="0.25">
      <c r="A178" s="22">
        <v>173</v>
      </c>
      <c r="B178" s="28" t="s">
        <v>337</v>
      </c>
      <c r="C178" s="24" t="s">
        <v>326</v>
      </c>
      <c r="D178" s="25">
        <v>2</v>
      </c>
      <c r="E178" s="26" t="s">
        <v>389</v>
      </c>
      <c r="F178" s="39">
        <v>21</v>
      </c>
      <c r="G178" s="18">
        <f>IF(F178&lt;10,10,IF(F178&lt;50,50,IF(F178&lt;100,100,IF(F178&lt;250,250,IF(F178&lt;500,500,IF(F178&lt;1000,1000,0))))))</f>
        <v>50</v>
      </c>
      <c r="H178" s="18">
        <f>IF(G178=5, 5, IF(G178=10, 25, IF(G178=50, 50, IF(G178=100, 100, IF(G178=250, 250, IF(G178=500, 500, IF(G178=1000, 1000, 0)))))))</f>
        <v>50</v>
      </c>
      <c r="I178" s="18">
        <f>IF(G178=0,"DONE",G178-F178)</f>
        <v>29</v>
      </c>
      <c r="J178" s="20">
        <f>IF(G178=0,0,H178/I178+0.00001*(500-A178))</f>
        <v>1.7274079310344828</v>
      </c>
      <c r="K178" s="27" t="s">
        <v>327</v>
      </c>
      <c r="L178" s="1"/>
      <c r="M178" s="1"/>
      <c r="N178" s="1"/>
      <c r="O178" s="1"/>
      <c r="P178" s="1"/>
      <c r="Q178" s="1"/>
      <c r="R178" s="1"/>
    </row>
    <row r="179" spans="1:18" ht="15" customHeight="1" x14ac:dyDescent="0.25">
      <c r="A179" s="22">
        <v>174</v>
      </c>
      <c r="B179" s="28" t="s">
        <v>338</v>
      </c>
      <c r="C179" s="24" t="s">
        <v>326</v>
      </c>
      <c r="D179" s="25">
        <v>3</v>
      </c>
      <c r="E179" s="26" t="s">
        <v>389</v>
      </c>
      <c r="F179" s="39">
        <v>20</v>
      </c>
      <c r="G179" s="18">
        <f>IF(F179&lt;10,10,IF(F179&lt;50,50,IF(F179&lt;100,100,IF(F179&lt;250,250,IF(F179&lt;500,500,IF(F179&lt;1000,1000,0))))))</f>
        <v>50</v>
      </c>
      <c r="H179" s="18">
        <f>IF(G179=5, 5, IF(G179=10, 25, IF(G179=50, 50, IF(G179=100, 100, IF(G179=250, 250, IF(G179=500, 500, IF(G179=1000, 1000, 0)))))))</f>
        <v>50</v>
      </c>
      <c r="I179" s="18">
        <f>IF(G179=0,"DONE",G179-F179)</f>
        <v>30</v>
      </c>
      <c r="J179" s="20">
        <f>IF(G179=0,0,H179/I179+0.00001*(500-A179))</f>
        <v>1.6699266666666668</v>
      </c>
      <c r="K179" s="27" t="s">
        <v>327</v>
      </c>
      <c r="L179" s="1"/>
      <c r="M179" s="1"/>
      <c r="N179" s="1"/>
      <c r="O179" s="1"/>
      <c r="P179" s="1"/>
      <c r="Q179" s="1"/>
      <c r="R179" s="1"/>
    </row>
    <row r="180" spans="1:18" ht="15" customHeight="1" x14ac:dyDescent="0.25">
      <c r="A180" s="22">
        <v>175</v>
      </c>
      <c r="B180" s="28" t="s">
        <v>339</v>
      </c>
      <c r="C180" s="24" t="s">
        <v>326</v>
      </c>
      <c r="D180" s="25">
        <v>4</v>
      </c>
      <c r="E180" s="26" t="s">
        <v>389</v>
      </c>
      <c r="F180" s="39">
        <v>26</v>
      </c>
      <c r="G180" s="18">
        <f>IF(F180&lt;10,10,IF(F180&lt;50,50,IF(F180&lt;100,100,IF(F180&lt;250,250,IF(F180&lt;500,500,IF(F180&lt;1000,1000,0))))))</f>
        <v>50</v>
      </c>
      <c r="H180" s="18">
        <f>IF(G180=5, 5, IF(G180=10, 25, IF(G180=50, 50, IF(G180=100, 100, IF(G180=250, 250, IF(G180=500, 500, IF(G180=1000, 1000, 0)))))))</f>
        <v>50</v>
      </c>
      <c r="I180" s="18">
        <f>IF(G180=0,"DONE",G180-F180)</f>
        <v>24</v>
      </c>
      <c r="J180" s="20">
        <f>IF(G180=0,0,H180/I180+0.00001*(500-A180))</f>
        <v>2.0865833333333335</v>
      </c>
      <c r="K180" s="27" t="s">
        <v>327</v>
      </c>
      <c r="L180" s="1"/>
      <c r="M180" s="1"/>
      <c r="N180" s="1"/>
      <c r="O180" s="1"/>
      <c r="P180" s="1"/>
      <c r="Q180" s="1"/>
      <c r="R180" s="1"/>
    </row>
    <row r="181" spans="1:18" ht="15" customHeight="1" x14ac:dyDescent="0.25">
      <c r="A181" s="22">
        <v>176</v>
      </c>
      <c r="B181" s="28" t="s">
        <v>340</v>
      </c>
      <c r="C181" s="24" t="s">
        <v>326</v>
      </c>
      <c r="D181" s="25">
        <v>1</v>
      </c>
      <c r="E181" s="26" t="s">
        <v>389</v>
      </c>
      <c r="F181" s="39">
        <v>25</v>
      </c>
      <c r="G181" s="18">
        <f>IF(F181&lt;10,10,IF(F181&lt;50,50,IF(F181&lt;100,100,IF(F181&lt;250,250,IF(F181&lt;500,500,IF(F181&lt;1000,1000,IF(F181&lt;5000, 5000, 0)))))))</f>
        <v>50</v>
      </c>
      <c r="H181" s="18">
        <f>IF(G181=5, 5, IF(G181=10, 25, IF(G181=50, 50, IF(G181=100, 100, IF(G181=250, 250, IF(G181=500, 500, IF(G181=1000, 1000, IF(G181=5000, 2000, 0))))))))</f>
        <v>50</v>
      </c>
      <c r="I181" s="18">
        <f>IF(G181=0,"DONE",G181-F181)</f>
        <v>25</v>
      </c>
      <c r="J181" s="20">
        <f>IF(G181=0,0,H181/I181+0.00001*(500-A181))</f>
        <v>2.0032399999999999</v>
      </c>
      <c r="K181" s="27" t="s">
        <v>327</v>
      </c>
      <c r="L181" s="1"/>
      <c r="M181" s="1"/>
      <c r="N181" s="1"/>
      <c r="O181" s="1"/>
      <c r="P181" s="1"/>
      <c r="Q181" s="1"/>
      <c r="R181" s="1"/>
    </row>
    <row r="182" spans="1:18" ht="15" customHeight="1" x14ac:dyDescent="0.25">
      <c r="A182" s="22">
        <v>177</v>
      </c>
      <c r="B182" s="28" t="s">
        <v>341</v>
      </c>
      <c r="C182" s="24" t="s">
        <v>326</v>
      </c>
      <c r="D182" s="25">
        <v>2</v>
      </c>
      <c r="E182" s="26" t="s">
        <v>389</v>
      </c>
      <c r="F182" s="39">
        <v>19</v>
      </c>
      <c r="G182" s="18">
        <f>IF(F182&lt;10,10,IF(F182&lt;50,50,IF(F182&lt;100,100,IF(F182&lt;250,250,IF(F182&lt;500,500,IF(F182&lt;1000,1000,0))))))</f>
        <v>50</v>
      </c>
      <c r="H182" s="18">
        <f>IF(G182=10, 50, IF(G182=50, 100, IF(G182=100, 250, IF(G182=250, 500, IF(G182=500, 1000, IF(G182=1000, 2000, 0))))))</f>
        <v>100</v>
      </c>
      <c r="I182" s="18">
        <f>IF(G182=0,"DONE",G182-F182)</f>
        <v>31</v>
      </c>
      <c r="J182" s="20">
        <f>IF(G182=0,0,H182/I182+0.00001*(500-A182))</f>
        <v>3.2290364516129029</v>
      </c>
      <c r="K182" s="27" t="s">
        <v>327</v>
      </c>
      <c r="L182" s="1"/>
      <c r="M182" s="1"/>
      <c r="N182" s="1"/>
      <c r="O182" s="1"/>
      <c r="P182" s="1"/>
      <c r="Q182" s="1"/>
      <c r="R182" s="1"/>
    </row>
    <row r="183" spans="1:18" ht="15" customHeight="1" x14ac:dyDescent="0.25">
      <c r="A183" s="22">
        <v>178</v>
      </c>
      <c r="B183" s="28" t="s">
        <v>342</v>
      </c>
      <c r="C183" s="24" t="s">
        <v>326</v>
      </c>
      <c r="D183" s="25">
        <v>3</v>
      </c>
      <c r="E183" s="26" t="s">
        <v>389</v>
      </c>
      <c r="F183" s="39">
        <v>19</v>
      </c>
      <c r="G183" s="18">
        <f>IF(F183&lt;10,10,IF(F183&lt;50,50,IF(F183&lt;100,100,IF(F183&lt;250,250,IF(F183&lt;500,500,IF(F183&lt;1000,1000,0))))))</f>
        <v>50</v>
      </c>
      <c r="H183" s="18">
        <f>IF(G183=10, 50, IF(G183=50, 100, IF(G183=100, 250, IF(G183=250, 500, IF(G183=500, 1000, IF(G183=1000, 2000, 0))))))</f>
        <v>100</v>
      </c>
      <c r="I183" s="18">
        <f>IF(G183=0,"DONE",G183-F183)</f>
        <v>31</v>
      </c>
      <c r="J183" s="20">
        <f>IF(G183=0,0,H183/I183+0.00001*(500-A183))</f>
        <v>3.2290264516129028</v>
      </c>
      <c r="K183" s="27" t="s">
        <v>327</v>
      </c>
      <c r="L183" s="1"/>
      <c r="M183" s="1"/>
      <c r="N183" s="1"/>
      <c r="O183" s="1"/>
      <c r="P183" s="1"/>
      <c r="Q183" s="1"/>
      <c r="R183" s="1"/>
    </row>
    <row r="184" spans="1:18" ht="15" customHeight="1" x14ac:dyDescent="0.25">
      <c r="A184" s="22">
        <v>179</v>
      </c>
      <c r="B184" s="28" t="s">
        <v>343</v>
      </c>
      <c r="C184" s="24" t="s">
        <v>326</v>
      </c>
      <c r="D184" s="25">
        <v>4</v>
      </c>
      <c r="E184" s="26" t="s">
        <v>389</v>
      </c>
      <c r="F184" s="39">
        <v>22</v>
      </c>
      <c r="G184" s="18">
        <f>IF(F184&lt;10,10,IF(F184&lt;50,50,IF(F184&lt;100,100,IF(F184&lt;250,250,IF(F184&lt;500,500,IF(F184&lt;1000,1000,0))))))</f>
        <v>50</v>
      </c>
      <c r="H184" s="18">
        <f>IF(G184=10, 50, IF(G184=50, 100, IF(G184=100, 250, IF(G184=250, 500, IF(G184=500, 1000, IF(G184=1000, 2000, 0))))))</f>
        <v>100</v>
      </c>
      <c r="I184" s="18">
        <f>IF(G184=0,"DONE",G184-F184)</f>
        <v>28</v>
      </c>
      <c r="J184" s="20">
        <f>IF(G184=0,0,H184/I184+0.00001*(500-A184))</f>
        <v>3.5746385714285718</v>
      </c>
      <c r="K184" s="27" t="s">
        <v>327</v>
      </c>
      <c r="L184" s="1"/>
      <c r="M184" s="1"/>
      <c r="N184" s="1"/>
      <c r="O184" s="1"/>
      <c r="P184" s="1"/>
      <c r="Q184" s="1"/>
      <c r="R184" s="1"/>
    </row>
    <row r="185" spans="1:18" ht="15" customHeight="1" x14ac:dyDescent="0.25">
      <c r="A185" s="22">
        <v>180</v>
      </c>
      <c r="B185" s="28" t="s">
        <v>344</v>
      </c>
      <c r="C185" s="24" t="s">
        <v>326</v>
      </c>
      <c r="D185" s="25">
        <v>1</v>
      </c>
      <c r="E185" s="26" t="s">
        <v>389</v>
      </c>
      <c r="F185" s="39">
        <v>25</v>
      </c>
      <c r="G185" s="18">
        <f>IF(F185&lt;10,10,IF(F185&lt;50,50,IF(F185&lt;100,100,IF(F185&lt;250,250,IF(F185&lt;500,500,IF(F185&lt;1000,1000,0))))))</f>
        <v>50</v>
      </c>
      <c r="H185" s="18">
        <f>IF(G185=10, 50, IF(G185=50, 100, IF(G185=100, 250, IF(G185=250, 500, IF(G185=500, 1000, IF(G185=1000, 2000, 0))))))</f>
        <v>100</v>
      </c>
      <c r="I185" s="18">
        <f>IF(G185=0,"DONE",G185-F185)</f>
        <v>25</v>
      </c>
      <c r="J185" s="20">
        <f>IF(G185=0,0,H185/I185+0.00001*(500-A185))</f>
        <v>4.0031999999999996</v>
      </c>
      <c r="K185" s="27" t="s">
        <v>327</v>
      </c>
      <c r="L185" s="1"/>
      <c r="M185" s="1"/>
      <c r="N185" s="1"/>
      <c r="O185" s="1"/>
      <c r="P185" s="1"/>
      <c r="Q185" s="1"/>
      <c r="R185" s="1"/>
    </row>
    <row r="186" spans="1:18" ht="15" customHeight="1" x14ac:dyDescent="0.25">
      <c r="A186" s="22">
        <v>181</v>
      </c>
      <c r="B186" s="28" t="s">
        <v>345</v>
      </c>
      <c r="C186" s="24" t="s">
        <v>326</v>
      </c>
      <c r="D186" s="25">
        <v>2</v>
      </c>
      <c r="E186" s="26" t="s">
        <v>389</v>
      </c>
      <c r="F186" s="39">
        <v>15</v>
      </c>
      <c r="G186" s="18">
        <f>IF(F186&lt;10,10,IF(F186&lt;50,50,IF(F186&lt;100,100,IF(F186&lt;250,250,IF(F186&lt;500,500,IF(F186&lt;1000,1000,0))))))</f>
        <v>50</v>
      </c>
      <c r="H186" s="18">
        <f>IF(G186=10, 50, IF(G186=50, 100, IF(G186=100, 250, IF(G186=250, 500, IF(G186=500, 1000, IF(G186=1000, 2000, 0))))))</f>
        <v>100</v>
      </c>
      <c r="I186" s="18">
        <f>IF(G186=0,"DONE",G186-F186)</f>
        <v>35</v>
      </c>
      <c r="J186" s="20">
        <f>IF(G186=0,0,H186/I186+0.00001*(500-A186))</f>
        <v>2.8603328571428572</v>
      </c>
      <c r="K186" s="27" t="s">
        <v>327</v>
      </c>
      <c r="L186" s="1"/>
      <c r="M186" s="1"/>
      <c r="N186" s="1"/>
      <c r="O186" s="1"/>
      <c r="P186" s="1"/>
      <c r="Q186" s="1"/>
      <c r="R186" s="1"/>
    </row>
    <row r="187" spans="1:18" ht="15" customHeight="1" x14ac:dyDescent="0.25">
      <c r="A187" s="22">
        <v>182</v>
      </c>
      <c r="B187" s="28" t="s">
        <v>346</v>
      </c>
      <c r="C187" s="24" t="s">
        <v>326</v>
      </c>
      <c r="D187" s="25">
        <v>3</v>
      </c>
      <c r="E187" s="26" t="s">
        <v>389</v>
      </c>
      <c r="F187" s="39">
        <v>15</v>
      </c>
      <c r="G187" s="18">
        <f>IF(F187&lt;10,10,IF(F187&lt;50,50,IF(F187&lt;100,100,IF(F187&lt;250,250,IF(F187&lt;500,500,IF(F187&lt;1000,1000,0))))))</f>
        <v>50</v>
      </c>
      <c r="H187" s="18">
        <f>IF(G187=10, 50, IF(G187=50, 100, IF(G187=100, 250, IF(G187=250, 500, IF(G187=500, 1000, IF(G187=1000, 2000, 0))))))</f>
        <v>100</v>
      </c>
      <c r="I187" s="18">
        <f>IF(G187=0,"DONE",G187-F187)</f>
        <v>35</v>
      </c>
      <c r="J187" s="20">
        <f>IF(G187=0,0,H187/I187+0.00001*(500-A187))</f>
        <v>2.8603228571428572</v>
      </c>
      <c r="K187" s="27" t="s">
        <v>327</v>
      </c>
      <c r="L187" s="1"/>
      <c r="M187" s="1"/>
      <c r="N187" s="1"/>
      <c r="O187" s="1"/>
      <c r="P187" s="1"/>
      <c r="Q187" s="1"/>
      <c r="R187" s="1"/>
    </row>
    <row r="188" spans="1:18" ht="15" customHeight="1" x14ac:dyDescent="0.25">
      <c r="A188" s="22">
        <v>183</v>
      </c>
      <c r="B188" s="28" t="s">
        <v>347</v>
      </c>
      <c r="C188" s="24" t="s">
        <v>326</v>
      </c>
      <c r="D188" s="25">
        <v>4</v>
      </c>
      <c r="E188" s="26" t="s">
        <v>389</v>
      </c>
      <c r="F188" s="39">
        <v>17</v>
      </c>
      <c r="G188" s="18">
        <f>IF(F188&lt;10,10,IF(F188&lt;50,50,IF(F188&lt;100,100,IF(F188&lt;250,250,IF(F188&lt;500,500,IF(F188&lt;1000,1000,0))))))</f>
        <v>50</v>
      </c>
      <c r="H188" s="18">
        <f>IF(G188=10, 50, IF(G188=50, 100, IF(G188=100, 250, IF(G188=250, 500, IF(G188=500, 1000, IF(G188=1000, 2000, 0))))))</f>
        <v>100</v>
      </c>
      <c r="I188" s="18">
        <f>IF(G188=0,"DONE",G188-F188)</f>
        <v>33</v>
      </c>
      <c r="J188" s="20">
        <f>IF(G188=0,0,H188/I188+0.00001*(500-A188))</f>
        <v>3.0334730303030302</v>
      </c>
      <c r="K188" s="27" t="s">
        <v>327</v>
      </c>
      <c r="L188" s="1"/>
      <c r="M188" s="1"/>
      <c r="N188" s="1"/>
      <c r="O188" s="1"/>
      <c r="P188" s="1"/>
      <c r="Q188" s="1"/>
      <c r="R188" s="1"/>
    </row>
    <row r="189" spans="1:18" ht="15" customHeight="1" x14ac:dyDescent="0.25">
      <c r="A189" s="22">
        <v>184</v>
      </c>
      <c r="B189" s="28" t="s">
        <v>348</v>
      </c>
      <c r="C189" s="24" t="s">
        <v>326</v>
      </c>
      <c r="D189" s="25">
        <v>5</v>
      </c>
      <c r="E189" s="26" t="s">
        <v>389</v>
      </c>
      <c r="F189" s="39">
        <v>24</v>
      </c>
      <c r="G189" s="18">
        <f>IF(F189&lt;10,10,IF(F189&lt;50,50,IF(F189&lt;100,100,IF(F189&lt;250,250,IF(F189&lt;500,500,IF(F189&lt;1000,1000,0))))))</f>
        <v>50</v>
      </c>
      <c r="H189" s="18">
        <f>IF(G189=10, 50, IF(G189=50, 100, IF(G189=100, 250, IF(G189=250, 500, IF(G189=500, 1000, IF(G189=1000, 2000, 0))))))</f>
        <v>100</v>
      </c>
      <c r="I189" s="18">
        <f>IF(G189=0,"DONE",G189-F189)</f>
        <v>26</v>
      </c>
      <c r="J189" s="20">
        <f>IF(G189=0,0,H189/I189+0.00001*(500-A189))</f>
        <v>3.8493138461538461</v>
      </c>
      <c r="K189" s="27" t="s">
        <v>327</v>
      </c>
      <c r="L189" s="1"/>
      <c r="M189" s="1"/>
      <c r="N189" s="1"/>
      <c r="O189" s="1"/>
      <c r="P189" s="1"/>
      <c r="Q189" s="1"/>
      <c r="R189" s="1"/>
    </row>
    <row r="190" spans="1:18" ht="15" customHeight="1" x14ac:dyDescent="0.25">
      <c r="A190" s="22">
        <v>185</v>
      </c>
      <c r="B190" s="28" t="s">
        <v>349</v>
      </c>
      <c r="C190" s="24" t="s">
        <v>326</v>
      </c>
      <c r="D190" s="25">
        <v>3</v>
      </c>
      <c r="E190" s="26" t="s">
        <v>389</v>
      </c>
      <c r="F190" s="39">
        <v>11</v>
      </c>
      <c r="G190" s="18">
        <f>IF(F190&lt;10,10,IF(F190&lt;50,50,IF(F190&lt;100,100,IF(F190&lt;250,250,IF(F190&lt;500,500,IF(F190&lt;1000,1000,0))))))</f>
        <v>50</v>
      </c>
      <c r="H190" s="18">
        <f>IF(G190=10, 50, IF(G190=50, 100, IF(G190=100, 250, IF(G190=250, 500, IF(G190=500, 1000, IF(G190=1000, 2000, 0))))))</f>
        <v>100</v>
      </c>
      <c r="I190" s="18">
        <f>IF(G190=0,"DONE",G190-F190)</f>
        <v>39</v>
      </c>
      <c r="J190" s="20">
        <f>IF(G190=0,0,H190/I190+0.00001*(500-A190))</f>
        <v>2.5672525641025645</v>
      </c>
      <c r="K190" s="27" t="s">
        <v>327</v>
      </c>
      <c r="L190" s="1"/>
      <c r="M190" s="1"/>
      <c r="N190" s="1"/>
      <c r="O190" s="1"/>
      <c r="P190" s="1"/>
      <c r="Q190" s="1"/>
      <c r="R190" s="1"/>
    </row>
    <row r="191" spans="1:18" ht="15" customHeight="1" x14ac:dyDescent="0.25">
      <c r="A191" s="22">
        <v>186</v>
      </c>
      <c r="B191" s="28" t="s">
        <v>350</v>
      </c>
      <c r="C191" s="24" t="s">
        <v>326</v>
      </c>
      <c r="D191" s="25">
        <v>3</v>
      </c>
      <c r="E191" s="26" t="s">
        <v>389</v>
      </c>
      <c r="F191" s="39">
        <v>17</v>
      </c>
      <c r="G191" s="18">
        <f>IF(F191&lt;10,10,IF(F191&lt;50,50,IF(F191&lt;100,100,IF(F191&lt;250,250,IF(F191&lt;500,500,IF(F191&lt;1000,1000,0))))))</f>
        <v>50</v>
      </c>
      <c r="H191" s="18">
        <f>IF(G191=10, 50, IF(G191=50, 100, IF(G191=100, 250, IF(G191=250, 500, IF(G191=500, 1000, IF(G191=1000, 2000, 0))))))</f>
        <v>100</v>
      </c>
      <c r="I191" s="18">
        <f>IF(G191=0,"DONE",G191-F191)</f>
        <v>33</v>
      </c>
      <c r="J191" s="20">
        <f>IF(G191=0,0,H191/I191+0.00001*(500-A191))</f>
        <v>3.0334430303030304</v>
      </c>
      <c r="K191" s="27" t="s">
        <v>327</v>
      </c>
      <c r="L191" s="1"/>
      <c r="M191" s="1"/>
      <c r="N191" s="1"/>
      <c r="O191" s="1"/>
      <c r="P191" s="1"/>
      <c r="Q191" s="1"/>
      <c r="R191" s="1"/>
    </row>
    <row r="192" spans="1:18" ht="15" customHeight="1" x14ac:dyDescent="0.25">
      <c r="A192" s="22">
        <v>187</v>
      </c>
      <c r="B192" s="28" t="s">
        <v>351</v>
      </c>
      <c r="C192" s="24" t="s">
        <v>326</v>
      </c>
      <c r="D192" s="25">
        <v>3</v>
      </c>
      <c r="E192" s="26" t="s">
        <v>389</v>
      </c>
      <c r="F192" s="39">
        <v>17</v>
      </c>
      <c r="G192" s="18">
        <f>IF(F192&lt;10,10,IF(F192&lt;50,50,IF(F192&lt;100,100,IF(F192&lt;250,250,IF(F192&lt;500,500,IF(F192&lt;1000,1000,0))))))</f>
        <v>50</v>
      </c>
      <c r="H192" s="18">
        <f>IF(G192=10, 50, IF(G192=50, 100, IF(G192=100, 250, IF(G192=250, 500, IF(G192=500, 1000, IF(G192=1000, 2000, 0))))))</f>
        <v>100</v>
      </c>
      <c r="I192" s="18">
        <f>IF(G192=0,"DONE",G192-F192)</f>
        <v>33</v>
      </c>
      <c r="J192" s="20">
        <f>IF(G192=0,0,H192/I192+0.00001*(500-A192))</f>
        <v>3.0334330303030304</v>
      </c>
      <c r="K192" s="27" t="s">
        <v>327</v>
      </c>
      <c r="L192" s="1"/>
      <c r="M192" s="1"/>
      <c r="N192" s="1"/>
      <c r="O192" s="1"/>
      <c r="P192" s="1"/>
      <c r="Q192" s="1"/>
      <c r="R192" s="1"/>
    </row>
    <row r="193" spans="1:18" ht="15" customHeight="1" x14ac:dyDescent="0.25">
      <c r="A193" s="22">
        <v>188</v>
      </c>
      <c r="B193" s="28" t="s">
        <v>352</v>
      </c>
      <c r="C193" s="24" t="s">
        <v>326</v>
      </c>
      <c r="D193" s="25">
        <v>3</v>
      </c>
      <c r="E193" s="26" t="s">
        <v>389</v>
      </c>
      <c r="F193" s="39">
        <v>16</v>
      </c>
      <c r="G193" s="18">
        <f>IF(F193&lt;10,10,IF(F193&lt;50,50,IF(F193&lt;100,100,IF(F193&lt;250,250,IF(F193&lt;500,500,IF(F193&lt;1000,1000,0))))))</f>
        <v>50</v>
      </c>
      <c r="H193" s="18">
        <f>IF(G193=10, 50, IF(G193=50, 100, IF(G193=100, 250, IF(G193=250, 500, IF(G193=500, 1000, IF(G193=1000, 2000, 0))))))</f>
        <v>100</v>
      </c>
      <c r="I193" s="18">
        <f>IF(G193=0,"DONE",G193-F193)</f>
        <v>34</v>
      </c>
      <c r="J193" s="20">
        <f>IF(G193=0,0,H193/I193+0.00001*(500-A193))</f>
        <v>2.9442964705882355</v>
      </c>
      <c r="K193" s="27" t="s">
        <v>327</v>
      </c>
      <c r="L193" s="1"/>
      <c r="M193" s="1"/>
      <c r="N193" s="1"/>
      <c r="O193" s="1"/>
      <c r="P193" s="1"/>
      <c r="Q193" s="1"/>
      <c r="R193" s="1"/>
    </row>
    <row r="194" spans="1:18" ht="15" customHeight="1" x14ac:dyDescent="0.25">
      <c r="A194" s="22">
        <v>189</v>
      </c>
      <c r="B194" s="28" t="s">
        <v>353</v>
      </c>
      <c r="C194" s="24" t="s">
        <v>326</v>
      </c>
      <c r="D194" s="25">
        <v>4</v>
      </c>
      <c r="E194" s="26" t="s">
        <v>389</v>
      </c>
      <c r="F194" s="39">
        <v>11</v>
      </c>
      <c r="G194" s="18">
        <f>IF(F194&lt;10,10,IF(F194&lt;50,50,IF(F194&lt;100,100,IF(F194&lt;250,250,IF(F194&lt;500,500,IF(F194&lt;1000,1000,0))))))</f>
        <v>50</v>
      </c>
      <c r="H194" s="18">
        <f>IF(G194=10, 50, IF(G194=50, 100, IF(G194=100, 250, IF(G194=250, 500, IF(G194=500, 1000, IF(G194=1000, 2000, 0))))))</f>
        <v>100</v>
      </c>
      <c r="I194" s="18">
        <f>IF(G194=0,"DONE",G194-F194)</f>
        <v>39</v>
      </c>
      <c r="J194" s="20">
        <f>IF(G194=0,0,H194/I194+0.00001*(500-A194))</f>
        <v>2.5672125641025643</v>
      </c>
      <c r="K194" s="27" t="s">
        <v>327</v>
      </c>
      <c r="L194" s="1"/>
      <c r="M194" s="1"/>
      <c r="N194" s="1"/>
      <c r="O194" s="1"/>
      <c r="P194" s="1"/>
      <c r="Q194" s="1"/>
      <c r="R194" s="1"/>
    </row>
    <row r="195" spans="1:18" ht="15" customHeight="1" x14ac:dyDescent="0.25">
      <c r="A195" s="22">
        <v>190</v>
      </c>
      <c r="B195" s="28" t="s">
        <v>354</v>
      </c>
      <c r="C195" s="24" t="s">
        <v>326</v>
      </c>
      <c r="D195" s="25">
        <v>3</v>
      </c>
      <c r="E195" s="26" t="s">
        <v>389</v>
      </c>
      <c r="F195" s="39">
        <v>31</v>
      </c>
      <c r="G195" s="18">
        <f>IF(F195&lt;10,10,IF(F195&lt;50,50,IF(F195&lt;100,100,IF(F195&lt;250,250,IF(F195&lt;500,500,IF(F195&lt;1000,1000,0))))))</f>
        <v>50</v>
      </c>
      <c r="H195" s="18">
        <f>IF(G195=10, 50, IF(G195=50, 100, IF(G195=100, 250, IF(G195=250, 500, IF(G195=500, 1000, IF(G195=1000, 2000, 0))))))</f>
        <v>100</v>
      </c>
      <c r="I195" s="18">
        <f>IF(G195=0,"DONE",G195-F195)</f>
        <v>19</v>
      </c>
      <c r="J195" s="20">
        <f>IF(G195=0,0,H195/I195+0.00001*(500-A195))</f>
        <v>5.2662578947368424</v>
      </c>
      <c r="K195" s="27" t="s">
        <v>327</v>
      </c>
      <c r="L195" s="1"/>
      <c r="M195" s="1"/>
      <c r="N195" s="1"/>
      <c r="O195" s="1"/>
      <c r="P195" s="1"/>
      <c r="Q195" s="1"/>
      <c r="R195" s="1"/>
    </row>
    <row r="196" spans="1:18" ht="15" customHeight="1" x14ac:dyDescent="0.25">
      <c r="A196" s="22">
        <v>191</v>
      </c>
      <c r="B196" s="28" t="s">
        <v>355</v>
      </c>
      <c r="C196" s="24" t="s">
        <v>326</v>
      </c>
      <c r="D196" s="25">
        <v>2</v>
      </c>
      <c r="E196" s="26" t="s">
        <v>389</v>
      </c>
      <c r="F196" s="39">
        <v>20</v>
      </c>
      <c r="G196" s="18">
        <f>IF(F196&lt;10,10,IF(F196&lt;50,50,IF(F196&lt;100,100,IF(F196&lt;250,250,IF(F196&lt;500,500,IF(F196&lt;1000,1000,0))))))</f>
        <v>50</v>
      </c>
      <c r="H196" s="18">
        <f>IF(G196=10, 50, IF(G196=50, 100, IF(G196=100, 250, IF(G196=250, 500, IF(G196=500, 1000, IF(G196=1000, 2000, 0))))))</f>
        <v>100</v>
      </c>
      <c r="I196" s="18">
        <f>IF(G196=0,"DONE",G196-F196)</f>
        <v>30</v>
      </c>
      <c r="J196" s="20">
        <f>IF(G196=0,0,H196/I196+0.00001*(500-A196))</f>
        <v>3.3364233333333333</v>
      </c>
      <c r="K196" s="27" t="s">
        <v>327</v>
      </c>
      <c r="L196" s="1"/>
      <c r="M196" s="1"/>
      <c r="N196" s="1"/>
      <c r="O196" s="1"/>
      <c r="P196" s="1"/>
      <c r="Q196" s="1"/>
      <c r="R196" s="1"/>
    </row>
    <row r="197" spans="1:18" ht="15" customHeight="1" x14ac:dyDescent="0.25">
      <c r="A197" s="22">
        <v>192</v>
      </c>
      <c r="B197" s="28" t="s">
        <v>356</v>
      </c>
      <c r="C197" s="24" t="s">
        <v>326</v>
      </c>
      <c r="D197" s="25">
        <v>4</v>
      </c>
      <c r="E197" s="26" t="s">
        <v>389</v>
      </c>
      <c r="F197" s="39">
        <v>27</v>
      </c>
      <c r="G197" s="18">
        <f>IF(F197&lt;10,10,IF(F197&lt;50,50,IF(F197&lt;100,100,IF(F197&lt;250,250,IF(F197&lt;500,500,IF(F197&lt;1000,1000,0))))))</f>
        <v>50</v>
      </c>
      <c r="H197" s="18">
        <f>IF(G197=10, 50, IF(G197=50, 100, IF(G197=100, 250, IF(G197=250, 500, IF(G197=500, 1000, IF(G197=1000, 2000, 0))))))</f>
        <v>100</v>
      </c>
      <c r="I197" s="18">
        <f>IF(G197=0,"DONE",G197-F197)</f>
        <v>23</v>
      </c>
      <c r="J197" s="20">
        <f>IF(G197=0,0,H197/I197+0.00001*(500-A197))</f>
        <v>4.3509060869565213</v>
      </c>
      <c r="K197" s="27" t="s">
        <v>327</v>
      </c>
      <c r="L197" s="1"/>
      <c r="M197" s="1"/>
      <c r="N197" s="1"/>
      <c r="O197" s="1"/>
      <c r="P197" s="1"/>
      <c r="Q197" s="1"/>
      <c r="R197" s="1"/>
    </row>
    <row r="198" spans="1:18" ht="15" customHeight="1" x14ac:dyDescent="0.25">
      <c r="A198" s="22">
        <v>193</v>
      </c>
      <c r="B198" s="28" t="s">
        <v>357</v>
      </c>
      <c r="C198" s="24" t="s">
        <v>326</v>
      </c>
      <c r="D198" s="25">
        <v>4</v>
      </c>
      <c r="E198" s="26" t="s">
        <v>389</v>
      </c>
      <c r="F198" s="39">
        <v>14</v>
      </c>
      <c r="G198" s="18">
        <f>IF(F198&lt;10,10,IF(F198&lt;50,50,IF(F198&lt;100,100,IF(F198&lt;250,250,IF(F198&lt;500,500,IF(F198&lt;1000,1000,0))))))</f>
        <v>50</v>
      </c>
      <c r="H198" s="18">
        <f>IF(G198=10, 50, IF(G198=50, 100, IF(G198=100, 250, IF(G198=250, 500, IF(G198=500, 1000, IF(G198=1000, 2000, 0))))))</f>
        <v>100</v>
      </c>
      <c r="I198" s="18">
        <f>IF(G198=0,"DONE",G198-F198)</f>
        <v>36</v>
      </c>
      <c r="J198" s="20">
        <f>IF(G198=0,0,H198/I198+0.00001*(500-A198))</f>
        <v>2.7808477777777778</v>
      </c>
      <c r="K198" s="27" t="s">
        <v>327</v>
      </c>
      <c r="L198" s="1"/>
      <c r="M198" s="1"/>
      <c r="N198" s="1"/>
      <c r="O198" s="1"/>
      <c r="P198" s="1"/>
      <c r="Q198" s="1"/>
      <c r="R198" s="1"/>
    </row>
    <row r="199" spans="1:18" ht="15" customHeight="1" x14ac:dyDescent="0.25">
      <c r="A199" s="22">
        <v>194</v>
      </c>
      <c r="B199" s="28" t="s">
        <v>358</v>
      </c>
      <c r="C199" s="24" t="s">
        <v>326</v>
      </c>
      <c r="D199" s="25">
        <v>4</v>
      </c>
      <c r="E199" s="26" t="s">
        <v>389</v>
      </c>
      <c r="F199" s="39">
        <v>15</v>
      </c>
      <c r="G199" s="18">
        <f>IF(F199&lt;10,10,IF(F199&lt;50,50,IF(F199&lt;100,100,IF(F199&lt;250,250,IF(F199&lt;500,500,IF(F199&lt;1000,1000,0))))))</f>
        <v>50</v>
      </c>
      <c r="H199" s="18">
        <f>IF(G199=10, 50, IF(G199=50, 100, IF(G199=100, 250, IF(G199=250, 500, IF(G199=500, 1000, IF(G199=1000, 2000, 0))))))</f>
        <v>100</v>
      </c>
      <c r="I199" s="18">
        <f>IF(G199=0,"DONE",G199-F199)</f>
        <v>35</v>
      </c>
      <c r="J199" s="20">
        <f>IF(G199=0,0,H199/I199+0.00001*(500-A199))</f>
        <v>2.8602028571428573</v>
      </c>
      <c r="K199" s="27" t="s">
        <v>327</v>
      </c>
      <c r="L199" s="1"/>
      <c r="M199" s="1"/>
      <c r="N199" s="1"/>
      <c r="O199" s="1"/>
      <c r="P199" s="1"/>
      <c r="Q199" s="1"/>
      <c r="R199" s="1"/>
    </row>
    <row r="200" spans="1:18" ht="15" customHeight="1" x14ac:dyDescent="0.25">
      <c r="A200" s="22">
        <v>195</v>
      </c>
      <c r="B200" s="28" t="s">
        <v>359</v>
      </c>
      <c r="C200" s="24" t="s">
        <v>326</v>
      </c>
      <c r="D200" s="25">
        <v>5</v>
      </c>
      <c r="E200" s="26" t="s">
        <v>389</v>
      </c>
      <c r="F200" s="39">
        <v>31</v>
      </c>
      <c r="G200" s="18">
        <f>IF(F200&lt;10,10,IF(F200&lt;50,50,IF(F200&lt;100,100,IF(F200&lt;250,250,IF(F200&lt;500,500,IF(F200&lt;1000,1000,0))))))</f>
        <v>50</v>
      </c>
      <c r="H200" s="18">
        <f>IF(G200=10, 50, IF(G200=50, 100, IF(G200=100, 250, IF(G200=250, 500, IF(G200=500, 1000, IF(G200=1000, 2000, 0))))))</f>
        <v>100</v>
      </c>
      <c r="I200" s="18">
        <f>IF(G200=0,"DONE",G200-F200)</f>
        <v>19</v>
      </c>
      <c r="J200" s="20">
        <f>IF(G200=0,0,H200/I200+0.00001*(500-A200))</f>
        <v>5.2662078947368425</v>
      </c>
      <c r="K200" s="27" t="s">
        <v>327</v>
      </c>
      <c r="L200" s="1"/>
      <c r="M200" s="1"/>
      <c r="N200" s="1"/>
      <c r="O200" s="1"/>
      <c r="P200" s="1"/>
      <c r="Q200" s="1"/>
      <c r="R200" s="1"/>
    </row>
    <row r="201" spans="1:18" ht="15" customHeight="1" x14ac:dyDescent="0.25">
      <c r="A201" s="22">
        <v>196</v>
      </c>
      <c r="B201" s="28" t="s">
        <v>360</v>
      </c>
      <c r="C201" s="24" t="s">
        <v>326</v>
      </c>
      <c r="D201" s="25">
        <v>4</v>
      </c>
      <c r="E201" s="26" t="s">
        <v>389</v>
      </c>
      <c r="F201" s="39">
        <v>14</v>
      </c>
      <c r="G201" s="18">
        <f>IF(F201&lt;10,10,IF(F201&lt;50,50,IF(F201&lt;100,100,IF(F201&lt;250,250,IF(F201&lt;500,500,IF(F201&lt;1000,1000,0))))))</f>
        <v>50</v>
      </c>
      <c r="H201" s="18">
        <f>IF(G201=10, 50, IF(G201=50, 100, IF(G201=100, 250, IF(G201=250, 500, IF(G201=500, 1000, IF(G201=1000, 2000, 0))))))</f>
        <v>100</v>
      </c>
      <c r="I201" s="18">
        <f>IF(G201=0,"DONE",G201-F201)</f>
        <v>36</v>
      </c>
      <c r="J201" s="20">
        <f>IF(G201=0,0,H201/I201+0.00001*(500-A201))</f>
        <v>2.7808177777777776</v>
      </c>
      <c r="K201" s="27" t="s">
        <v>327</v>
      </c>
      <c r="L201" s="1"/>
      <c r="M201" s="1"/>
      <c r="N201" s="1"/>
      <c r="O201" s="1"/>
      <c r="P201" s="1"/>
      <c r="Q201" s="1"/>
      <c r="R201" s="1"/>
    </row>
    <row r="202" spans="1:18" ht="15" customHeight="1" x14ac:dyDescent="0.25">
      <c r="A202" s="22">
        <v>197</v>
      </c>
      <c r="B202" s="28" t="s">
        <v>361</v>
      </c>
      <c r="C202" s="24" t="s">
        <v>326</v>
      </c>
      <c r="D202" s="25">
        <v>5</v>
      </c>
      <c r="E202" s="26" t="s">
        <v>389</v>
      </c>
      <c r="F202" s="39">
        <v>11</v>
      </c>
      <c r="G202" s="18">
        <f>IF(F202&lt;10,10,IF(F202&lt;50,50,IF(F202&lt;100,100,IF(F202&lt;250,250,IF(F202&lt;500,500,IF(F202&lt;1000,1000,0))))))</f>
        <v>50</v>
      </c>
      <c r="H202" s="18">
        <f>IF(G202=10, 50, IF(G202=50, 100, IF(G202=100, 250, IF(G202=250, 500, IF(G202=500, 1000, IF(G202=1000, 2000, 0))))))</f>
        <v>100</v>
      </c>
      <c r="I202" s="18">
        <f>IF(G202=0,"DONE",G202-F202)</f>
        <v>39</v>
      </c>
      <c r="J202" s="20">
        <f>IF(G202=0,0,H202/I202+0.00001*(500-A202))</f>
        <v>2.5671325641025642</v>
      </c>
      <c r="K202" s="27" t="s">
        <v>327</v>
      </c>
      <c r="L202" s="1"/>
      <c r="M202" s="1"/>
      <c r="N202" s="1"/>
      <c r="O202" s="1"/>
      <c r="P202" s="1"/>
      <c r="Q202" s="1"/>
      <c r="R202" s="1"/>
    </row>
    <row r="203" spans="1:18" ht="15" customHeight="1" x14ac:dyDescent="0.25">
      <c r="A203" s="22">
        <v>198</v>
      </c>
      <c r="B203" s="28" t="s">
        <v>362</v>
      </c>
      <c r="C203" s="24" t="s">
        <v>326</v>
      </c>
      <c r="D203" s="25">
        <v>2</v>
      </c>
      <c r="E203" s="26" t="s">
        <v>389</v>
      </c>
      <c r="F203" s="39">
        <v>51</v>
      </c>
      <c r="G203" s="18">
        <f>IF(F203&lt;10,10,IF(F203&lt;50,50,IF(F203&lt;100,100,IF(F203&lt;250,250,IF(F203&lt;500,500,IF(F203&lt;1000,1000,0))))))</f>
        <v>100</v>
      </c>
      <c r="H203" s="18">
        <f>IF(G203=10, 50, IF(G203=50, 100, IF(G203=100, 250, IF(G203=250, 500, IF(G203=500, 1000, IF(G203=1000, 2000, 0))))))</f>
        <v>250</v>
      </c>
      <c r="I203" s="18">
        <f>IF(G203=0,"DONE",G203-F203)</f>
        <v>49</v>
      </c>
      <c r="J203" s="20">
        <f>IF(G203=0,0,H203/I203+0.00001*(500-A203))</f>
        <v>5.1050608163265307</v>
      </c>
      <c r="K203" s="27" t="s">
        <v>327</v>
      </c>
      <c r="L203" s="1"/>
      <c r="M203" s="1"/>
      <c r="N203" s="1"/>
      <c r="O203" s="1"/>
      <c r="P203" s="1"/>
      <c r="Q203" s="1"/>
      <c r="R203" s="1"/>
    </row>
    <row r="204" spans="1:18" ht="15" customHeight="1" x14ac:dyDescent="0.25">
      <c r="A204" s="22">
        <v>199</v>
      </c>
      <c r="B204" s="28" t="s">
        <v>363</v>
      </c>
      <c r="C204" s="24" t="s">
        <v>326</v>
      </c>
      <c r="D204" s="25">
        <v>4</v>
      </c>
      <c r="E204" s="26" t="s">
        <v>389</v>
      </c>
      <c r="F204" s="39">
        <v>15</v>
      </c>
      <c r="G204" s="18">
        <f>IF(F204&lt;10,10,IF(F204&lt;50,50,IF(F204&lt;100,100,IF(F204&lt;250,250,IF(F204&lt;500,500,IF(F204&lt;1000,1000,0))))))</f>
        <v>50</v>
      </c>
      <c r="H204" s="18">
        <f>IF(G204=10, 50, IF(G204=50, 100, IF(G204=100, 250, IF(G204=250, 500, IF(G204=500, 1000, IF(G204=1000, 2000, 0))))))</f>
        <v>100</v>
      </c>
      <c r="I204" s="18">
        <f>IF(G204=0,"DONE",G204-F204)</f>
        <v>35</v>
      </c>
      <c r="J204" s="20">
        <f>IF(G204=0,0,H204/I204+0.00001*(500-A204))</f>
        <v>2.8601528571428574</v>
      </c>
      <c r="K204" s="27" t="s">
        <v>327</v>
      </c>
      <c r="L204" s="1"/>
      <c r="M204" s="1"/>
      <c r="N204" s="1"/>
      <c r="O204" s="1"/>
      <c r="P204" s="1"/>
      <c r="Q204" s="1"/>
      <c r="R204" s="1"/>
    </row>
    <row r="205" spans="1:18" ht="15" customHeight="1" x14ac:dyDescent="0.25">
      <c r="A205" s="22">
        <v>200</v>
      </c>
      <c r="B205" s="28" t="s">
        <v>364</v>
      </c>
      <c r="C205" s="24" t="s">
        <v>326</v>
      </c>
      <c r="D205" s="25">
        <v>4</v>
      </c>
      <c r="E205" s="26" t="s">
        <v>389</v>
      </c>
      <c r="F205" s="39">
        <v>27</v>
      </c>
      <c r="G205" s="18">
        <f>IF(F205&lt;10,10,IF(F205&lt;50,50,IF(F205&lt;100,100,IF(F205&lt;250,250,IF(F205&lt;500,500,IF(F205&lt;1000,1000,0))))))</f>
        <v>50</v>
      </c>
      <c r="H205" s="18">
        <f>IF(G205=10, 50, IF(G205=50, 100, IF(G205=100, 250, IF(G205=250, 500, IF(G205=500, 1000, IF(G205=1000, 2000, 0))))))</f>
        <v>100</v>
      </c>
      <c r="I205" s="18">
        <f>IF(G205=0,"DONE",G205-F205)</f>
        <v>23</v>
      </c>
      <c r="J205" s="20">
        <f>IF(G205=0,0,H205/I205+0.00001*(500-A205))</f>
        <v>4.3508260869565216</v>
      </c>
      <c r="K205" s="27" t="s">
        <v>327</v>
      </c>
      <c r="L205" s="1"/>
      <c r="M205" s="1"/>
      <c r="N205" s="1"/>
      <c r="O205" s="1"/>
      <c r="P205" s="1"/>
      <c r="Q205" s="1"/>
      <c r="R205" s="1"/>
    </row>
    <row r="206" spans="1:18" ht="15" customHeight="1" x14ac:dyDescent="0.25">
      <c r="A206" s="22">
        <v>201</v>
      </c>
      <c r="B206" s="28" t="s">
        <v>365</v>
      </c>
      <c r="C206" s="24" t="s">
        <v>326</v>
      </c>
      <c r="D206" s="25">
        <v>3</v>
      </c>
      <c r="E206" s="26" t="s">
        <v>389</v>
      </c>
      <c r="F206" s="39">
        <v>14</v>
      </c>
      <c r="G206" s="18">
        <f>IF(F206&lt;10,10,IF(F206&lt;50,50,IF(F206&lt;100,100,IF(F206&lt;250,250,IF(F206&lt;500,500,IF(F206&lt;1000,1000,0))))))</f>
        <v>50</v>
      </c>
      <c r="H206" s="18">
        <f>IF(G206=10, 50, IF(G206=50, 100, IF(G206=100, 250, IF(G206=250, 500, IF(G206=500, 1000, IF(G206=1000, 2000, 0))))))</f>
        <v>100</v>
      </c>
      <c r="I206" s="18">
        <f>IF(G206=0,"DONE",G206-F206)</f>
        <v>36</v>
      </c>
      <c r="J206" s="20">
        <f>IF(G206=0,0,H206/I206+0.00001*(500-A206))</f>
        <v>2.7807677777777777</v>
      </c>
      <c r="K206" s="27" t="s">
        <v>327</v>
      </c>
      <c r="L206" s="1"/>
      <c r="M206" s="1"/>
      <c r="N206" s="1"/>
      <c r="O206" s="1"/>
      <c r="P206" s="1"/>
      <c r="Q206" s="1"/>
      <c r="R206" s="1"/>
    </row>
    <row r="207" spans="1:18" ht="15" customHeight="1" x14ac:dyDescent="0.25">
      <c r="A207" s="22">
        <v>202</v>
      </c>
      <c r="B207" s="28" t="s">
        <v>366</v>
      </c>
      <c r="C207" s="24" t="s">
        <v>326</v>
      </c>
      <c r="D207" s="25">
        <v>4</v>
      </c>
      <c r="E207" s="26" t="s">
        <v>389</v>
      </c>
      <c r="F207" s="39">
        <v>11</v>
      </c>
      <c r="G207" s="18">
        <f>IF(F207&lt;10,10,IF(F207&lt;50,50,IF(F207&lt;100,100,IF(F207&lt;250,250,IF(F207&lt;500,500,IF(F207&lt;1000,1000,0))))))</f>
        <v>50</v>
      </c>
      <c r="H207" s="18">
        <f>IF(G207=10, 50, IF(G207=50, 100, IF(G207=100, 250, IF(G207=250, 500, IF(G207=500, 1000, IF(G207=1000, 2000, 0))))))</f>
        <v>100</v>
      </c>
      <c r="I207" s="18">
        <f>IF(G207=0,"DONE",G207-F207)</f>
        <v>39</v>
      </c>
      <c r="J207" s="20">
        <f>IF(G207=0,0,H207/I207+0.00001*(500-A207))</f>
        <v>2.5670825641025643</v>
      </c>
      <c r="K207" s="27" t="s">
        <v>327</v>
      </c>
      <c r="L207" s="1"/>
      <c r="M207" s="1"/>
      <c r="N207" s="1"/>
      <c r="O207" s="1"/>
      <c r="P207" s="1"/>
      <c r="Q207" s="1"/>
      <c r="R207" s="1"/>
    </row>
    <row r="208" spans="1:18" ht="15" customHeight="1" x14ac:dyDescent="0.25">
      <c r="A208" s="22">
        <v>203</v>
      </c>
      <c r="B208" s="28" t="s">
        <v>367</v>
      </c>
      <c r="C208" s="24" t="s">
        <v>326</v>
      </c>
      <c r="D208" s="25">
        <v>5</v>
      </c>
      <c r="E208" s="26" t="s">
        <v>389</v>
      </c>
      <c r="F208" s="39">
        <v>14</v>
      </c>
      <c r="G208" s="18">
        <f>IF(F208&lt;10,10,IF(F208&lt;50,50,IF(F208&lt;100,100,IF(F208&lt;250,250,IF(F208&lt;500,500,IF(F208&lt;1000,1000,0))))))</f>
        <v>50</v>
      </c>
      <c r="H208" s="18">
        <f>IF(G208=10, 50, IF(G208=50, 100, IF(G208=100, 250, IF(G208=250, 500, IF(G208=500, 1000, IF(G208=1000, 2000, 0))))))</f>
        <v>100</v>
      </c>
      <c r="I208" s="18">
        <f>IF(G208=0,"DONE",G208-F208)</f>
        <v>36</v>
      </c>
      <c r="J208" s="20">
        <f>IF(G208=0,0,H208/I208+0.00001*(500-A208))</f>
        <v>2.7807477777777776</v>
      </c>
      <c r="K208" s="27" t="s">
        <v>327</v>
      </c>
      <c r="L208" s="1"/>
      <c r="M208" s="1"/>
      <c r="N208" s="1"/>
      <c r="O208" s="1"/>
      <c r="P208" s="1"/>
      <c r="Q208" s="1"/>
      <c r="R208" s="1"/>
    </row>
    <row r="209" spans="1:18" ht="15" customHeight="1" x14ac:dyDescent="0.25">
      <c r="A209" s="22">
        <v>204</v>
      </c>
      <c r="B209" s="28" t="s">
        <v>368</v>
      </c>
      <c r="C209" s="24" t="s">
        <v>326</v>
      </c>
      <c r="D209" s="25">
        <v>1</v>
      </c>
      <c r="E209" s="26" t="s">
        <v>389</v>
      </c>
      <c r="F209" s="39">
        <v>10</v>
      </c>
      <c r="G209" s="18">
        <f>IF(F209&lt;10,10,IF(F209&lt;50,50,IF(F209&lt;100,100,IF(F209&lt;250,250,IF(F209&lt;500,500,IF(F209&lt;1000,1000,IF(F209&lt;5000, 5000, 0)))))))</f>
        <v>50</v>
      </c>
      <c r="H209" s="18">
        <f>IF(G209=5, 5, IF(G209=10, 25, IF(G209=50, 50, IF(G209=100, 100, IF(G209=250, 250, IF(G209=500, 500, IF(G209=1000, 1000, IF(G209=5000, 2000, 0))))))))</f>
        <v>50</v>
      </c>
      <c r="I209" s="18">
        <f>IF(G209=0,"DONE",G209-F209)</f>
        <v>40</v>
      </c>
      <c r="J209" s="20">
        <f>IF(G209=0,0,H209/I209+0.00001*(500-A209))</f>
        <v>1.2529600000000001</v>
      </c>
      <c r="K209" s="27" t="s">
        <v>327</v>
      </c>
      <c r="L209" s="1"/>
      <c r="M209" s="1"/>
      <c r="N209" s="1"/>
      <c r="O209" s="1"/>
      <c r="P209" s="1"/>
      <c r="Q209" s="1"/>
      <c r="R209" s="1"/>
    </row>
    <row r="210" spans="1:18" ht="15" customHeight="1" x14ac:dyDescent="0.25">
      <c r="A210" s="22">
        <v>205</v>
      </c>
      <c r="B210" s="28" t="s">
        <v>369</v>
      </c>
      <c r="C210" s="24" t="s">
        <v>326</v>
      </c>
      <c r="D210" s="25">
        <v>2</v>
      </c>
      <c r="E210" s="26" t="s">
        <v>389</v>
      </c>
      <c r="F210" s="39">
        <v>11</v>
      </c>
      <c r="G210" s="18">
        <f>IF(F210&lt;10,10,IF(F210&lt;50,50,IF(F210&lt;100,100,IF(F210&lt;250,250,IF(F210&lt;500,500,IF(F210&lt;1000,1000,IF(F210&lt;5000, 5000, 0)))))))</f>
        <v>50</v>
      </c>
      <c r="H210" s="18">
        <f>IF(G210=5, 5, IF(G210=10, 25, IF(G210=50, 50, IF(G210=100, 100, IF(G210=250, 250, IF(G210=500, 500, IF(G210=1000, 1000, IF(G210=5000, 2000, 0))))))))</f>
        <v>50</v>
      </c>
      <c r="I210" s="18">
        <f>IF(G210=0,"DONE",G210-F210)</f>
        <v>39</v>
      </c>
      <c r="J210" s="20">
        <f>IF(G210=0,0,H210/I210+0.00001*(500-A210))</f>
        <v>1.2850012820512822</v>
      </c>
      <c r="K210" s="27" t="s">
        <v>327</v>
      </c>
      <c r="L210" s="1"/>
      <c r="M210" s="1"/>
      <c r="N210" s="1"/>
      <c r="O210" s="1"/>
      <c r="P210" s="1"/>
      <c r="Q210" s="1"/>
      <c r="R210" s="1"/>
    </row>
    <row r="211" spans="1:18" ht="15" customHeight="1" x14ac:dyDescent="0.25">
      <c r="A211" s="22">
        <v>206</v>
      </c>
      <c r="B211" s="28" t="s">
        <v>370</v>
      </c>
      <c r="C211" s="24" t="s">
        <v>326</v>
      </c>
      <c r="D211" s="25">
        <v>1</v>
      </c>
      <c r="E211" s="26" t="s">
        <v>389</v>
      </c>
      <c r="F211" s="39">
        <v>16</v>
      </c>
      <c r="G211" s="18">
        <f>IF(F211&lt;10,10,IF(F211&lt;50,50,IF(F211&lt;100,100,IF(F211&lt;250,250,IF(F211&lt;500,500,IF(F211&lt;1000,1000,IF(F211&lt;5000, 5000, 0)))))))</f>
        <v>50</v>
      </c>
      <c r="H211" s="18">
        <f>IF(G211=5, 5, IF(G211=10, 10, IF(G211=50, 25, IF(G211=100, 50, IF(G211=250, 100, IF(G211=500, 250, IF(G211=1000, 500, IF(G211=5000, 1000, 0))))))))</f>
        <v>25</v>
      </c>
      <c r="I211" s="18">
        <f>IF(G211=0,"DONE",G211-F211)</f>
        <v>34</v>
      </c>
      <c r="J211" s="20">
        <f>IF(G211=0,0,H211/I211+0.00001*(500-A211))</f>
        <v>0.73823411764705893</v>
      </c>
      <c r="K211" s="27" t="s">
        <v>327</v>
      </c>
      <c r="L211" s="1"/>
      <c r="M211" s="1"/>
      <c r="N211" s="1"/>
      <c r="O211" s="1"/>
      <c r="P211" s="1"/>
      <c r="Q211" s="1"/>
      <c r="R211" s="1"/>
    </row>
    <row r="212" spans="1:18" ht="15" customHeight="1" x14ac:dyDescent="0.25">
      <c r="A212" s="22">
        <v>207</v>
      </c>
      <c r="B212" s="28" t="s">
        <v>371</v>
      </c>
      <c r="C212" s="24" t="s">
        <v>326</v>
      </c>
      <c r="D212" s="25">
        <v>4</v>
      </c>
      <c r="E212" s="26" t="s">
        <v>389</v>
      </c>
      <c r="F212" s="39">
        <v>12</v>
      </c>
      <c r="G212" s="18">
        <f>IF(F212&lt;10,10,IF(F212&lt;50,50,IF(F212&lt;100,100,IF(F212&lt;250,250,IF(F212&lt;500,500,IF(F212&lt;1000,1000,0))))))</f>
        <v>50</v>
      </c>
      <c r="H212" s="18">
        <f>IF(G212=10, 50, IF(G212=50, 100, IF(G212=100, 250, IF(G212=250, 500, IF(G212=500, 1000, IF(G212=1000, 2000, 0))))))</f>
        <v>100</v>
      </c>
      <c r="I212" s="18">
        <f>IF(G212=0,"DONE",G212-F212)</f>
        <v>38</v>
      </c>
      <c r="J212" s="20">
        <f>IF(G212=0,0,H212/I212+0.00001*(500-A212))</f>
        <v>2.6345089473684213</v>
      </c>
      <c r="K212" s="27" t="s">
        <v>327</v>
      </c>
      <c r="L212" s="1"/>
      <c r="M212" s="1"/>
      <c r="N212" s="1"/>
      <c r="O212" s="1"/>
      <c r="P212" s="1"/>
      <c r="Q212" s="1"/>
      <c r="R212" s="1"/>
    </row>
    <row r="213" spans="1:18" ht="15" customHeight="1" x14ac:dyDescent="0.25">
      <c r="A213" s="22">
        <v>208</v>
      </c>
      <c r="B213" s="28" t="s">
        <v>372</v>
      </c>
      <c r="C213" s="24" t="s">
        <v>326</v>
      </c>
      <c r="D213" s="25">
        <v>4</v>
      </c>
      <c r="E213" s="26" t="s">
        <v>389</v>
      </c>
      <c r="F213" s="39">
        <v>20</v>
      </c>
      <c r="G213" s="18">
        <f>IF(F213&lt;10,10,IF(F213&lt;50,50,IF(F213&lt;100,100,IF(F213&lt;250,250,IF(F213&lt;500,500,IF(F213&lt;1000,1000,0))))))</f>
        <v>50</v>
      </c>
      <c r="H213" s="18">
        <f>IF(G213=10, 50, IF(G213=50, 100, IF(G213=100, 250, IF(G213=250, 500, IF(G213=500, 1000, IF(G213=1000, 2000, 0))))))</f>
        <v>100</v>
      </c>
      <c r="I213" s="18">
        <f>IF(G213=0,"DONE",G213-F213)</f>
        <v>30</v>
      </c>
      <c r="J213" s="20">
        <f>IF(G213=0,0,H213/I213+0.00001*(500-A213))</f>
        <v>3.3362533333333335</v>
      </c>
      <c r="K213" s="27" t="s">
        <v>327</v>
      </c>
      <c r="L213" s="1"/>
      <c r="M213" s="1"/>
      <c r="N213" s="1"/>
      <c r="O213" s="1"/>
      <c r="P213" s="1"/>
      <c r="Q213" s="1"/>
      <c r="R213" s="1"/>
    </row>
    <row r="214" spans="1:18" ht="15" customHeight="1" x14ac:dyDescent="0.25">
      <c r="A214" s="22">
        <v>209</v>
      </c>
      <c r="B214" s="28" t="s">
        <v>373</v>
      </c>
      <c r="C214" s="24" t="s">
        <v>326</v>
      </c>
      <c r="D214" s="25">
        <v>6</v>
      </c>
      <c r="E214" s="26" t="s">
        <v>389</v>
      </c>
      <c r="F214" s="39">
        <v>12</v>
      </c>
      <c r="G214" s="18">
        <f>IF(F214&lt;10,10,IF(F214&lt;50,50,IF(F214&lt;100,100,IF(F214&lt;250,250,IF(F214&lt;500,500,IF(F214&lt;1000,1000,0))))))</f>
        <v>50</v>
      </c>
      <c r="H214" s="18">
        <f>IF(G214=10, 50, IF(G214=50, 100, IF(G214=100, 250, IF(G214=250, 500, IF(G214=500, 1000, IF(G214=1000, 2000, 0))))))</f>
        <v>100</v>
      </c>
      <c r="I214" s="18">
        <f>IF(G214=0,"DONE",G214-F214)</f>
        <v>38</v>
      </c>
      <c r="J214" s="20">
        <f>IF(G214=0,0,H214/I214+0.00001*(500-A214))</f>
        <v>2.6344889473684212</v>
      </c>
      <c r="K214" s="27" t="s">
        <v>327</v>
      </c>
      <c r="L214" s="1"/>
      <c r="M214" s="1"/>
      <c r="N214" s="1"/>
      <c r="O214" s="1"/>
      <c r="P214" s="1"/>
      <c r="Q214" s="1"/>
      <c r="R214" s="1"/>
    </row>
    <row r="215" spans="1:18" ht="15" customHeight="1" x14ac:dyDescent="0.25">
      <c r="A215" s="22">
        <v>210</v>
      </c>
      <c r="B215" s="28" t="s">
        <v>374</v>
      </c>
      <c r="C215" s="24" t="s">
        <v>326</v>
      </c>
      <c r="D215" s="25">
        <v>6</v>
      </c>
      <c r="E215" s="26" t="s">
        <v>389</v>
      </c>
      <c r="F215" s="39">
        <v>10</v>
      </c>
      <c r="G215" s="18">
        <f>IF(F215&lt;10,10,IF(F215&lt;50,50,IF(F215&lt;100,100,IF(F215&lt;250,250,IF(F215&lt;500,500,IF(F215&lt;1000,1000,0))))))</f>
        <v>50</v>
      </c>
      <c r="H215" s="18">
        <f>IF(G215=10, 50, IF(G215=50, 100, IF(G215=100, 250, IF(G215=250, 500, IF(G215=500, 1000, IF(G215=1000, 2000, 0))))))</f>
        <v>100</v>
      </c>
      <c r="I215" s="18">
        <f>IF(G215=0,"DONE",G215-F215)</f>
        <v>40</v>
      </c>
      <c r="J215" s="20">
        <f>IF(G215=0,0,H215/I215+0.00001*(500-A215))</f>
        <v>2.5028999999999999</v>
      </c>
      <c r="K215" s="27" t="s">
        <v>327</v>
      </c>
      <c r="L215" s="1"/>
      <c r="M215" s="1"/>
      <c r="N215" s="1"/>
      <c r="O215" s="1"/>
      <c r="P215" s="1"/>
      <c r="Q215" s="1"/>
      <c r="R215" s="1"/>
    </row>
    <row r="216" spans="1:18" ht="15" customHeight="1" x14ac:dyDescent="0.25">
      <c r="A216" s="22">
        <v>211</v>
      </c>
      <c r="B216" s="28" t="s">
        <v>375</v>
      </c>
      <c r="C216" s="24" t="s">
        <v>326</v>
      </c>
      <c r="D216" s="25">
        <v>6</v>
      </c>
      <c r="E216" s="26" t="s">
        <v>389</v>
      </c>
      <c r="F216" s="39">
        <v>22</v>
      </c>
      <c r="G216" s="18">
        <f>IF(F216&lt;10,10,IF(F216&lt;50,50,IF(F216&lt;100,100,IF(F216&lt;250,250,IF(F216&lt;500,500,IF(F216&lt;1000,1000,0))))))</f>
        <v>50</v>
      </c>
      <c r="H216" s="18">
        <f>IF(G216=10, 50, IF(G216=50, 100, IF(G216=100, 250, IF(G216=250, 500, IF(G216=500, 1000, IF(G216=1000, 2000, 0))))))</f>
        <v>100</v>
      </c>
      <c r="I216" s="18">
        <f>IF(G216=0,"DONE",G216-F216)</f>
        <v>28</v>
      </c>
      <c r="J216" s="20">
        <f>IF(G216=0,0,H216/I216+0.00001*(500-A216))</f>
        <v>3.5743185714285715</v>
      </c>
      <c r="K216" s="27" t="s">
        <v>327</v>
      </c>
      <c r="L216" s="1"/>
      <c r="M216" s="1"/>
      <c r="N216" s="1"/>
      <c r="O216" s="1"/>
      <c r="P216" s="1"/>
      <c r="Q216" s="1"/>
      <c r="R216" s="1"/>
    </row>
    <row r="217" spans="1:18" ht="15" customHeight="1" x14ac:dyDescent="0.25">
      <c r="A217" s="22">
        <v>212</v>
      </c>
      <c r="B217" s="28" t="s">
        <v>376</v>
      </c>
      <c r="C217" s="24" t="s">
        <v>326</v>
      </c>
      <c r="D217" s="25">
        <v>3</v>
      </c>
      <c r="E217" s="26" t="s">
        <v>389</v>
      </c>
      <c r="F217" s="39">
        <v>50</v>
      </c>
      <c r="G217" s="18">
        <f>IF(F217&lt;10,10,IF(F217&lt;50,50,IF(F217&lt;100,100,IF(F217&lt;250,250,IF(F217&lt;500,500,IF(F217&lt;1000,1000,0))))))</f>
        <v>100</v>
      </c>
      <c r="H217" s="18">
        <f>IF(G217=10, 50, IF(G217=50, 100, IF(G217=100, 250, IF(G217=250, 500, IF(G217=500, 1000, IF(G217=1000, 2000, 0))))))</f>
        <v>250</v>
      </c>
      <c r="I217" s="18">
        <f>IF(G217=0,"DONE",G217-F217)</f>
        <v>50</v>
      </c>
      <c r="J217" s="20">
        <f>IF(G217=0,0,H217/I217+0.00001*(500-A217))</f>
        <v>5.0028800000000002</v>
      </c>
      <c r="K217" s="27" t="s">
        <v>327</v>
      </c>
      <c r="L217" s="1"/>
      <c r="M217" s="1"/>
      <c r="N217" s="1"/>
      <c r="O217" s="1"/>
      <c r="P217" s="1"/>
      <c r="Q217" s="1"/>
      <c r="R217" s="1"/>
    </row>
    <row r="218" spans="1:18" ht="15" customHeight="1" x14ac:dyDescent="0.25">
      <c r="A218" s="22">
        <v>213</v>
      </c>
      <c r="B218" s="28" t="s">
        <v>377</v>
      </c>
      <c r="C218" s="24" t="s">
        <v>326</v>
      </c>
      <c r="D218" s="25">
        <v>6</v>
      </c>
      <c r="E218" s="26" t="s">
        <v>389</v>
      </c>
      <c r="F218" s="39">
        <v>28</v>
      </c>
      <c r="G218" s="18">
        <f>IF(F218&lt;10,10,IF(F218&lt;50,50,IF(F218&lt;100,100,IF(F218&lt;250,250,IF(F218&lt;500,500,IF(F218&lt;1000,1000,IF(F218&lt;5000, 5000, 0)))))))</f>
        <v>50</v>
      </c>
      <c r="H218" s="18">
        <f>IF(G218=5, 5, IF(G218=10, 50, IF(G218=50, 100, IF(G218=100, 250, IF(G218=250, 500, IF(G218=500, 1000, IF(G218=1000, 2000, IF(G218=5000, 2000, 0))))))))</f>
        <v>100</v>
      </c>
      <c r="I218" s="18">
        <f>IF(G218=0,"DONE",G218-F218)</f>
        <v>22</v>
      </c>
      <c r="J218" s="20">
        <f>IF(G218=0,0,H218/I218+0.00001*(500-A218))</f>
        <v>4.5483245454545456</v>
      </c>
      <c r="K218" s="27" t="s">
        <v>327</v>
      </c>
      <c r="L218" s="1"/>
      <c r="M218" s="1"/>
      <c r="N218" s="1"/>
      <c r="O218" s="1"/>
      <c r="P218" s="1"/>
      <c r="Q218" s="1"/>
      <c r="R218" s="1"/>
    </row>
    <row r="219" spans="1:18" ht="15" customHeight="1" thickBot="1" x14ac:dyDescent="0.3">
      <c r="A219" s="29">
        <v>214</v>
      </c>
      <c r="B219" s="30" t="s">
        <v>378</v>
      </c>
      <c r="C219" s="31" t="s">
        <v>326</v>
      </c>
      <c r="D219" s="32">
        <v>4</v>
      </c>
      <c r="E219" s="33" t="s">
        <v>389</v>
      </c>
      <c r="F219" s="40">
        <v>20</v>
      </c>
      <c r="G219" s="34">
        <f>IF(F219&lt;10,10,IF(F219&lt;50,50,IF(F219&lt;100,100,IF(F219&lt;250,250,IF(F219&lt;500,500,IF(F219&lt;1000,1000,0))))))</f>
        <v>50</v>
      </c>
      <c r="H219" s="34">
        <f>IF(G219=10, 50, IF(G219=50, 100, IF(G219=100, 250, IF(G219=250, 500, IF(G219=500, 1000, IF(G219=1000, 2000, 0))))))</f>
        <v>100</v>
      </c>
      <c r="I219" s="34">
        <f>IF(G219=0,"DONE",G219-F219)</f>
        <v>30</v>
      </c>
      <c r="J219" s="20">
        <f>IF(G219=0,0,H219/I219+0.00001*(500-A219))</f>
        <v>3.3361933333333336</v>
      </c>
      <c r="K219" s="35" t="s">
        <v>327</v>
      </c>
      <c r="L219" s="1"/>
      <c r="M219" s="1"/>
      <c r="N219" s="1"/>
      <c r="O219" s="1"/>
      <c r="P219" s="1"/>
      <c r="Q219" s="1"/>
      <c r="R219" s="1"/>
    </row>
    <row r="220" spans="1:18" ht="15" customHeight="1" thickTop="1" x14ac:dyDescent="0.25"/>
  </sheetData>
  <autoFilter ref="E5:E219" xr:uid="{35AA350A-0DB1-4B1A-919B-E8898957E499}"/>
  <sortState ref="A6:K219">
    <sortCondition ref="A6"/>
  </sortState>
  <mergeCells count="14">
    <mergeCell ref="L5:O5"/>
    <mergeCell ref="L6:O6"/>
    <mergeCell ref="N7:O7"/>
    <mergeCell ref="A1:K2"/>
    <mergeCell ref="L15:O15"/>
    <mergeCell ref="L18:O19"/>
    <mergeCell ref="L16:O16"/>
    <mergeCell ref="L14:M14"/>
    <mergeCell ref="L8:M8"/>
    <mergeCell ref="L9:M9"/>
    <mergeCell ref="L10:M10"/>
    <mergeCell ref="L11:M11"/>
    <mergeCell ref="L12:M12"/>
    <mergeCell ref="L13:M13"/>
  </mergeCells>
  <conditionalFormatting sqref="A6:K219">
    <cfRule type="expression" dxfId="11" priority="8">
      <formula>$D6=6</formula>
    </cfRule>
    <cfRule type="expression" dxfId="10" priority="9">
      <formula>$D6=5</formula>
    </cfRule>
    <cfRule type="expression" dxfId="9" priority="10">
      <formula>$D6=4</formula>
    </cfRule>
    <cfRule type="expression" dxfId="8" priority="11">
      <formula>$D6=3</formula>
    </cfRule>
    <cfRule type="expression" dxfId="7" priority="12">
      <formula>$D6=2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IDSort">
          <controlPr defaultSize="0" autoLine="0" autoPict="0" r:id="rId5">
            <anchor moveWithCells="1">
              <from>
                <xdr:col>7</xdr:col>
                <xdr:colOff>333375</xdr:colOff>
                <xdr:row>2</xdr:row>
                <xdr:rowOff>0</xdr:rowOff>
              </from>
              <to>
                <xdr:col>11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7" r:id="rId4" name="BtnIDSort"/>
      </mc:Fallback>
    </mc:AlternateContent>
    <mc:AlternateContent xmlns:mc="http://schemas.openxmlformats.org/markup-compatibility/2006">
      <mc:Choice Requires="x14">
        <control shapeId="1026" r:id="rId6" name="BtnNameSort">
          <controlPr defaultSize="0" autoLine="0" autoPict="0" r:id="rId7">
            <anchor moveWithCells="1">
              <from>
                <xdr:col>2</xdr:col>
                <xdr:colOff>514350</xdr:colOff>
                <xdr:row>2</xdr:row>
                <xdr:rowOff>0</xdr:rowOff>
              </from>
              <to>
                <xdr:col>7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6" name="BtnNameSort"/>
      </mc:Fallback>
    </mc:AlternateContent>
    <mc:AlternateContent xmlns:mc="http://schemas.openxmlformats.org/markup-compatibility/2006">
      <mc:Choice Requires="x14">
        <control shapeId="1025" r:id="rId8" name="BtnSwitchAutoSort">
          <controlPr defaultSize="0" autoLine="0" r:id="rId9">
            <anchor moveWithCells="1">
              <from>
                <xdr:col>0</xdr:col>
                <xdr:colOff>0</xdr:colOff>
                <xdr:row>1</xdr:row>
                <xdr:rowOff>180975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8" name="BtnSwitchAutoS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D5077-9B99-46D7-889B-25BE9B1ACCF5}">
  <sheetPr codeName="List2"/>
  <dimension ref="A2:L71"/>
  <sheetViews>
    <sheetView topLeftCell="A46" workbookViewId="0">
      <selection activeCell="D40" sqref="D40"/>
    </sheetView>
  </sheetViews>
  <sheetFormatPr defaultRowHeight="15" x14ac:dyDescent="0.25"/>
  <cols>
    <col min="1" max="1" width="3" style="43" bestFit="1" customWidth="1"/>
    <col min="2" max="2" width="28.28515625" style="43" bestFit="1" customWidth="1"/>
    <col min="3" max="3" width="13.5703125" style="43" bestFit="1" customWidth="1"/>
    <col min="4" max="4" width="7.7109375" style="43" bestFit="1" customWidth="1"/>
    <col min="5" max="5" width="5" style="43" bestFit="1" customWidth="1"/>
    <col min="6" max="6" width="10.42578125" style="43" bestFit="1" customWidth="1"/>
    <col min="7" max="7" width="5" style="43" bestFit="1" customWidth="1"/>
    <col min="8" max="8" width="8" style="45" bestFit="1" customWidth="1"/>
    <col min="9" max="16384" width="9.140625" style="43"/>
  </cols>
  <sheetData>
    <row r="2" spans="1:12" ht="15.75" thickBot="1" x14ac:dyDescent="0.3"/>
    <row r="3" spans="1:12" ht="16.5" thickTop="1" thickBot="1" x14ac:dyDescent="0.3">
      <c r="A3" s="10" t="s">
        <v>0</v>
      </c>
      <c r="B3" s="12" t="s">
        <v>391</v>
      </c>
      <c r="C3" s="42" t="s">
        <v>10</v>
      </c>
      <c r="D3" s="42" t="s">
        <v>5</v>
      </c>
      <c r="E3" s="42" t="s">
        <v>6</v>
      </c>
      <c r="F3" s="42" t="s">
        <v>8</v>
      </c>
      <c r="G3" s="42" t="s">
        <v>7</v>
      </c>
      <c r="H3" s="46" t="s">
        <v>9</v>
      </c>
    </row>
    <row r="4" spans="1:12" ht="15.75" thickTop="1" x14ac:dyDescent="0.25">
      <c r="A4" s="47">
        <v>43</v>
      </c>
      <c r="B4" s="48" t="s">
        <v>398</v>
      </c>
      <c r="C4" s="53" t="s">
        <v>408</v>
      </c>
      <c r="D4" s="62">
        <v>9</v>
      </c>
      <c r="E4" s="59">
        <f t="shared" ref="E4:E35" si="0">IF(D4&lt;1, 1, IF(D4&lt;5, 5, IF(D4&lt;10, 10, IF(D4&lt;25, 25, IF(D4&lt;50, 50, IF(D4&lt;100, 100, IF(D4&lt;250, 250, "DONE")))))))</f>
        <v>10</v>
      </c>
      <c r="F4" s="62">
        <f t="shared" ref="F4:F35" si="1">E4-D4</f>
        <v>1</v>
      </c>
      <c r="G4" s="62">
        <f t="shared" ref="G4:G35" si="2">IF(E4=1, 25, IF(E4=5, 50, IF(E4=10, 100, IF(E4=25, 250, IF(E4=50, 500, IF(E4=100, 1000, IF(E4=250, 2000, "DONE")))))))</f>
        <v>100</v>
      </c>
      <c r="H4" s="54">
        <f t="shared" ref="H4:H35" si="3">G4/F4 - (500-A4)/1000000</f>
        <v>99.999543000000003</v>
      </c>
    </row>
    <row r="5" spans="1:12" x14ac:dyDescent="0.25">
      <c r="A5" s="49">
        <v>61</v>
      </c>
      <c r="B5" s="50" t="s">
        <v>401</v>
      </c>
      <c r="C5" s="55" t="s">
        <v>408</v>
      </c>
      <c r="D5" s="59">
        <v>9</v>
      </c>
      <c r="E5" s="59">
        <f t="shared" si="0"/>
        <v>10</v>
      </c>
      <c r="F5" s="59">
        <f t="shared" si="1"/>
        <v>1</v>
      </c>
      <c r="G5" s="59">
        <f t="shared" si="2"/>
        <v>100</v>
      </c>
      <c r="H5" s="56">
        <f t="shared" si="3"/>
        <v>99.999561</v>
      </c>
    </row>
    <row r="6" spans="1:12" x14ac:dyDescent="0.25">
      <c r="A6" s="49">
        <v>15</v>
      </c>
      <c r="B6" s="50" t="s">
        <v>394</v>
      </c>
      <c r="C6" s="55" t="s">
        <v>405</v>
      </c>
      <c r="D6" s="61">
        <v>98</v>
      </c>
      <c r="E6" s="44">
        <f t="shared" si="0"/>
        <v>100</v>
      </c>
      <c r="F6" s="61">
        <f t="shared" si="1"/>
        <v>2</v>
      </c>
      <c r="G6" s="61">
        <f t="shared" si="2"/>
        <v>1000</v>
      </c>
      <c r="H6" s="56">
        <f t="shared" si="3"/>
        <v>499.99951499999997</v>
      </c>
    </row>
    <row r="7" spans="1:12" x14ac:dyDescent="0.25">
      <c r="A7" s="49">
        <v>36</v>
      </c>
      <c r="B7" s="50" t="s">
        <v>397</v>
      </c>
      <c r="C7" s="55" t="s">
        <v>406</v>
      </c>
      <c r="D7" s="41">
        <v>48</v>
      </c>
      <c r="E7" s="41">
        <f t="shared" si="0"/>
        <v>50</v>
      </c>
      <c r="F7" s="41">
        <f t="shared" si="1"/>
        <v>2</v>
      </c>
      <c r="G7" s="41">
        <f t="shared" si="2"/>
        <v>500</v>
      </c>
      <c r="H7" s="56">
        <f t="shared" si="3"/>
        <v>249.99953600000001</v>
      </c>
    </row>
    <row r="8" spans="1:12" x14ac:dyDescent="0.25">
      <c r="A8" s="49">
        <v>34</v>
      </c>
      <c r="B8" s="50" t="s">
        <v>397</v>
      </c>
      <c r="C8" s="55" t="s">
        <v>405</v>
      </c>
      <c r="D8" s="41">
        <v>47</v>
      </c>
      <c r="E8" s="41">
        <f t="shared" si="0"/>
        <v>50</v>
      </c>
      <c r="F8" s="41">
        <f t="shared" si="1"/>
        <v>3</v>
      </c>
      <c r="G8" s="41">
        <f t="shared" si="2"/>
        <v>500</v>
      </c>
      <c r="H8" s="56">
        <f t="shared" si="3"/>
        <v>166.66620066666667</v>
      </c>
    </row>
    <row r="9" spans="1:12" x14ac:dyDescent="0.25">
      <c r="A9" s="49">
        <v>60</v>
      </c>
      <c r="B9" s="50" t="s">
        <v>401</v>
      </c>
      <c r="C9" s="55" t="s">
        <v>406</v>
      </c>
      <c r="D9" s="41">
        <v>2</v>
      </c>
      <c r="E9" s="41">
        <f t="shared" si="0"/>
        <v>5</v>
      </c>
      <c r="F9" s="41">
        <f t="shared" si="1"/>
        <v>3</v>
      </c>
      <c r="G9" s="41">
        <f t="shared" si="2"/>
        <v>50</v>
      </c>
      <c r="H9" s="56">
        <f t="shared" si="3"/>
        <v>16.666226666666667</v>
      </c>
    </row>
    <row r="10" spans="1:12" x14ac:dyDescent="0.25">
      <c r="A10" s="49">
        <v>58</v>
      </c>
      <c r="B10" s="50" t="s">
        <v>401</v>
      </c>
      <c r="C10" s="55" t="s">
        <v>405</v>
      </c>
      <c r="D10" s="41">
        <v>21</v>
      </c>
      <c r="E10" s="41">
        <f t="shared" si="0"/>
        <v>25</v>
      </c>
      <c r="F10" s="41">
        <f t="shared" si="1"/>
        <v>4</v>
      </c>
      <c r="G10" s="41">
        <f t="shared" si="2"/>
        <v>250</v>
      </c>
      <c r="H10" s="56">
        <f t="shared" si="3"/>
        <v>62.499558</v>
      </c>
    </row>
    <row r="11" spans="1:12" x14ac:dyDescent="0.25">
      <c r="A11" s="49">
        <v>46</v>
      </c>
      <c r="B11" s="50" t="s">
        <v>399</v>
      </c>
      <c r="C11" s="55" t="s">
        <v>405</v>
      </c>
      <c r="D11" s="41">
        <v>45</v>
      </c>
      <c r="E11" s="41">
        <f t="shared" si="0"/>
        <v>50</v>
      </c>
      <c r="F11" s="41">
        <f t="shared" si="1"/>
        <v>5</v>
      </c>
      <c r="G11" s="41">
        <f t="shared" si="2"/>
        <v>500</v>
      </c>
      <c r="H11" s="56">
        <f t="shared" si="3"/>
        <v>99.999545999999995</v>
      </c>
    </row>
    <row r="12" spans="1:12" x14ac:dyDescent="0.25">
      <c r="A12" s="49">
        <v>6</v>
      </c>
      <c r="B12" s="50" t="s">
        <v>392</v>
      </c>
      <c r="C12" s="55" t="s">
        <v>408</v>
      </c>
      <c r="D12" s="41">
        <v>44</v>
      </c>
      <c r="E12" s="41">
        <f t="shared" si="0"/>
        <v>50</v>
      </c>
      <c r="F12" s="41">
        <f t="shared" si="1"/>
        <v>6</v>
      </c>
      <c r="G12" s="41">
        <f t="shared" si="2"/>
        <v>500</v>
      </c>
      <c r="H12" s="56">
        <f t="shared" si="3"/>
        <v>83.332839333333325</v>
      </c>
    </row>
    <row r="13" spans="1:12" x14ac:dyDescent="0.25">
      <c r="A13" s="49">
        <v>19</v>
      </c>
      <c r="B13" s="50" t="s">
        <v>395</v>
      </c>
      <c r="C13" s="55" t="s">
        <v>403</v>
      </c>
      <c r="D13" s="59">
        <v>92</v>
      </c>
      <c r="E13" s="59">
        <f t="shared" si="0"/>
        <v>100</v>
      </c>
      <c r="F13" s="59">
        <f t="shared" si="1"/>
        <v>8</v>
      </c>
      <c r="G13" s="59">
        <f t="shared" si="2"/>
        <v>1000</v>
      </c>
      <c r="H13" s="56">
        <f t="shared" si="3"/>
        <v>124.99951900000001</v>
      </c>
      <c r="J13" s="79" t="s">
        <v>413</v>
      </c>
      <c r="K13" s="79"/>
      <c r="L13" s="79"/>
    </row>
    <row r="14" spans="1:12" x14ac:dyDescent="0.25">
      <c r="A14" s="49">
        <v>20</v>
      </c>
      <c r="B14" s="50" t="s">
        <v>395</v>
      </c>
      <c r="C14" s="55" t="s">
        <v>404</v>
      </c>
      <c r="D14" s="41">
        <v>92</v>
      </c>
      <c r="E14" s="41">
        <f t="shared" si="0"/>
        <v>100</v>
      </c>
      <c r="F14" s="41">
        <f t="shared" si="1"/>
        <v>8</v>
      </c>
      <c r="G14" s="41">
        <f t="shared" si="2"/>
        <v>1000</v>
      </c>
      <c r="H14" s="56">
        <f t="shared" si="3"/>
        <v>124.99952</v>
      </c>
      <c r="J14" s="79" t="s">
        <v>414</v>
      </c>
      <c r="K14" s="79"/>
      <c r="L14" s="79"/>
    </row>
    <row r="15" spans="1:12" x14ac:dyDescent="0.25">
      <c r="A15" s="49">
        <v>22</v>
      </c>
      <c r="B15" s="50" t="s">
        <v>395</v>
      </c>
      <c r="C15" s="55" t="s">
        <v>409</v>
      </c>
      <c r="D15" s="41">
        <v>92</v>
      </c>
      <c r="E15" s="41">
        <f t="shared" si="0"/>
        <v>100</v>
      </c>
      <c r="F15" s="41">
        <f t="shared" si="1"/>
        <v>8</v>
      </c>
      <c r="G15" s="41">
        <f t="shared" si="2"/>
        <v>1000</v>
      </c>
      <c r="H15" s="56">
        <f t="shared" si="3"/>
        <v>124.999522</v>
      </c>
    </row>
    <row r="16" spans="1:12" x14ac:dyDescent="0.25">
      <c r="A16" s="49">
        <v>23</v>
      </c>
      <c r="B16" s="50" t="s">
        <v>395</v>
      </c>
      <c r="C16" s="55" t="s">
        <v>406</v>
      </c>
      <c r="D16" s="41">
        <v>92</v>
      </c>
      <c r="E16" s="41">
        <f t="shared" si="0"/>
        <v>100</v>
      </c>
      <c r="F16" s="41">
        <f t="shared" si="1"/>
        <v>8</v>
      </c>
      <c r="G16" s="41">
        <f t="shared" si="2"/>
        <v>1000</v>
      </c>
      <c r="H16" s="56">
        <f t="shared" si="3"/>
        <v>124.999523</v>
      </c>
    </row>
    <row r="17" spans="1:8" x14ac:dyDescent="0.25">
      <c r="A17" s="49">
        <v>31</v>
      </c>
      <c r="B17" s="50" t="s">
        <v>396</v>
      </c>
      <c r="C17" s="55" t="s">
        <v>408</v>
      </c>
      <c r="D17" s="41">
        <v>14</v>
      </c>
      <c r="E17" s="41">
        <f t="shared" si="0"/>
        <v>25</v>
      </c>
      <c r="F17" s="41">
        <f t="shared" si="1"/>
        <v>11</v>
      </c>
      <c r="G17" s="41">
        <f t="shared" si="2"/>
        <v>250</v>
      </c>
      <c r="H17" s="56">
        <f t="shared" si="3"/>
        <v>22.726803727272728</v>
      </c>
    </row>
    <row r="18" spans="1:8" x14ac:dyDescent="0.25">
      <c r="A18" s="49">
        <v>64</v>
      </c>
      <c r="B18" s="50" t="s">
        <v>402</v>
      </c>
      <c r="C18" s="55" t="s">
        <v>405</v>
      </c>
      <c r="D18" s="41">
        <v>14</v>
      </c>
      <c r="E18" s="41">
        <f t="shared" si="0"/>
        <v>25</v>
      </c>
      <c r="F18" s="41">
        <f t="shared" si="1"/>
        <v>11</v>
      </c>
      <c r="G18" s="41">
        <f t="shared" si="2"/>
        <v>250</v>
      </c>
      <c r="H18" s="56">
        <f t="shared" si="3"/>
        <v>22.726836727272726</v>
      </c>
    </row>
    <row r="19" spans="1:8" x14ac:dyDescent="0.25">
      <c r="A19" s="49">
        <v>37</v>
      </c>
      <c r="B19" s="50" t="s">
        <v>397</v>
      </c>
      <c r="C19" s="55" t="s">
        <v>408</v>
      </c>
      <c r="D19" s="59">
        <v>13</v>
      </c>
      <c r="E19" s="59">
        <f t="shared" si="0"/>
        <v>25</v>
      </c>
      <c r="F19" s="59">
        <f t="shared" si="1"/>
        <v>12</v>
      </c>
      <c r="G19" s="59">
        <f t="shared" si="2"/>
        <v>250</v>
      </c>
      <c r="H19" s="56">
        <f t="shared" si="3"/>
        <v>20.832870333333332</v>
      </c>
    </row>
    <row r="20" spans="1:8" x14ac:dyDescent="0.25">
      <c r="A20" s="49">
        <v>40</v>
      </c>
      <c r="B20" s="50" t="s">
        <v>398</v>
      </c>
      <c r="C20" s="55" t="s">
        <v>405</v>
      </c>
      <c r="D20" s="61">
        <v>38</v>
      </c>
      <c r="E20" s="61">
        <f t="shared" si="0"/>
        <v>50</v>
      </c>
      <c r="F20" s="61">
        <f t="shared" si="1"/>
        <v>12</v>
      </c>
      <c r="G20" s="61">
        <f t="shared" si="2"/>
        <v>500</v>
      </c>
      <c r="H20" s="56">
        <f t="shared" si="3"/>
        <v>41.666206666666668</v>
      </c>
    </row>
    <row r="21" spans="1:8" x14ac:dyDescent="0.25">
      <c r="A21" s="49">
        <v>49</v>
      </c>
      <c r="B21" s="50" t="s">
        <v>399</v>
      </c>
      <c r="C21" s="55" t="s">
        <v>408</v>
      </c>
      <c r="D21" s="41">
        <v>38</v>
      </c>
      <c r="E21" s="41">
        <f t="shared" si="0"/>
        <v>50</v>
      </c>
      <c r="F21" s="41">
        <f t="shared" si="1"/>
        <v>12</v>
      </c>
      <c r="G21" s="41">
        <f t="shared" si="2"/>
        <v>500</v>
      </c>
      <c r="H21" s="56">
        <f t="shared" si="3"/>
        <v>41.666215666666666</v>
      </c>
    </row>
    <row r="22" spans="1:8" x14ac:dyDescent="0.25">
      <c r="A22" s="49">
        <v>21</v>
      </c>
      <c r="B22" s="50" t="s">
        <v>395</v>
      </c>
      <c r="C22" s="55" t="s">
        <v>405</v>
      </c>
      <c r="D22" s="41">
        <v>87</v>
      </c>
      <c r="E22" s="41">
        <f t="shared" si="0"/>
        <v>100</v>
      </c>
      <c r="F22" s="41">
        <f t="shared" si="1"/>
        <v>13</v>
      </c>
      <c r="G22" s="41">
        <f t="shared" si="2"/>
        <v>1000</v>
      </c>
      <c r="H22" s="56">
        <f t="shared" si="3"/>
        <v>76.922597923076921</v>
      </c>
    </row>
    <row r="23" spans="1:8" x14ac:dyDescent="0.25">
      <c r="A23" s="49">
        <v>42</v>
      </c>
      <c r="B23" s="50" t="s">
        <v>398</v>
      </c>
      <c r="C23" s="55" t="s">
        <v>406</v>
      </c>
      <c r="D23" s="41">
        <v>37</v>
      </c>
      <c r="E23" s="41">
        <f t="shared" si="0"/>
        <v>50</v>
      </c>
      <c r="F23" s="41">
        <f t="shared" si="1"/>
        <v>13</v>
      </c>
      <c r="G23" s="41">
        <f t="shared" si="2"/>
        <v>500</v>
      </c>
      <c r="H23" s="56">
        <f t="shared" si="3"/>
        <v>38.461080461538458</v>
      </c>
    </row>
    <row r="24" spans="1:8" x14ac:dyDescent="0.25">
      <c r="A24" s="49">
        <v>48</v>
      </c>
      <c r="B24" s="50" t="s">
        <v>399</v>
      </c>
      <c r="C24" s="55" t="s">
        <v>406</v>
      </c>
      <c r="D24" s="41">
        <v>37</v>
      </c>
      <c r="E24" s="41">
        <f t="shared" si="0"/>
        <v>50</v>
      </c>
      <c r="F24" s="41">
        <f t="shared" si="1"/>
        <v>13</v>
      </c>
      <c r="G24" s="41">
        <f t="shared" si="2"/>
        <v>500</v>
      </c>
      <c r="H24" s="56">
        <f t="shared" si="3"/>
        <v>38.461086461538457</v>
      </c>
    </row>
    <row r="25" spans="1:8" x14ac:dyDescent="0.25">
      <c r="A25" s="49">
        <v>67</v>
      </c>
      <c r="B25" s="50" t="s">
        <v>402</v>
      </c>
      <c r="C25" s="55" t="s">
        <v>408</v>
      </c>
      <c r="D25" s="61">
        <v>12</v>
      </c>
      <c r="E25" s="61">
        <f t="shared" si="0"/>
        <v>25</v>
      </c>
      <c r="F25" s="61">
        <f t="shared" si="1"/>
        <v>13</v>
      </c>
      <c r="G25" s="61">
        <f t="shared" si="2"/>
        <v>250</v>
      </c>
      <c r="H25" s="56">
        <f t="shared" si="3"/>
        <v>19.230336230769229</v>
      </c>
    </row>
    <row r="26" spans="1:8" x14ac:dyDescent="0.25">
      <c r="A26" s="49">
        <v>56</v>
      </c>
      <c r="B26" s="50" t="s">
        <v>401</v>
      </c>
      <c r="C26" s="55" t="s">
        <v>403</v>
      </c>
      <c r="D26" s="41">
        <v>36</v>
      </c>
      <c r="E26" s="41">
        <f t="shared" si="0"/>
        <v>50</v>
      </c>
      <c r="F26" s="41">
        <f t="shared" si="1"/>
        <v>14</v>
      </c>
      <c r="G26" s="41">
        <f t="shared" si="2"/>
        <v>500</v>
      </c>
      <c r="H26" s="56">
        <f t="shared" si="3"/>
        <v>35.713841714285714</v>
      </c>
    </row>
    <row r="27" spans="1:8" x14ac:dyDescent="0.25">
      <c r="A27" s="49">
        <v>57</v>
      </c>
      <c r="B27" s="50" t="s">
        <v>401</v>
      </c>
      <c r="C27" s="55" t="s">
        <v>404</v>
      </c>
      <c r="D27" s="41">
        <v>36</v>
      </c>
      <c r="E27" s="41">
        <f t="shared" si="0"/>
        <v>50</v>
      </c>
      <c r="F27" s="41">
        <f t="shared" si="1"/>
        <v>14</v>
      </c>
      <c r="G27" s="41">
        <f t="shared" si="2"/>
        <v>500</v>
      </c>
      <c r="H27" s="56">
        <f t="shared" si="3"/>
        <v>35.713842714285718</v>
      </c>
    </row>
    <row r="28" spans="1:8" x14ac:dyDescent="0.25">
      <c r="A28" s="49">
        <v>59</v>
      </c>
      <c r="B28" s="50" t="s">
        <v>401</v>
      </c>
      <c r="C28" s="55" t="s">
        <v>409</v>
      </c>
      <c r="D28" s="41">
        <v>36</v>
      </c>
      <c r="E28" s="41">
        <f t="shared" si="0"/>
        <v>50</v>
      </c>
      <c r="F28" s="41">
        <f t="shared" si="1"/>
        <v>14</v>
      </c>
      <c r="G28" s="41">
        <f t="shared" si="2"/>
        <v>500</v>
      </c>
      <c r="H28" s="56">
        <f t="shared" si="3"/>
        <v>35.713844714285713</v>
      </c>
    </row>
    <row r="29" spans="1:8" x14ac:dyDescent="0.25">
      <c r="A29" s="49">
        <v>18</v>
      </c>
      <c r="B29" s="50" t="s">
        <v>394</v>
      </c>
      <c r="C29" s="55" t="s">
        <v>408</v>
      </c>
      <c r="D29" s="41">
        <v>10</v>
      </c>
      <c r="E29" s="41">
        <f t="shared" si="0"/>
        <v>25</v>
      </c>
      <c r="F29" s="41">
        <f t="shared" si="1"/>
        <v>15</v>
      </c>
      <c r="G29" s="41">
        <f t="shared" si="2"/>
        <v>250</v>
      </c>
      <c r="H29" s="56">
        <f t="shared" si="3"/>
        <v>16.666184666666666</v>
      </c>
    </row>
    <row r="30" spans="1:8" x14ac:dyDescent="0.25">
      <c r="A30" s="49">
        <v>66</v>
      </c>
      <c r="B30" s="50" t="s">
        <v>402</v>
      </c>
      <c r="C30" s="55" t="s">
        <v>406</v>
      </c>
      <c r="D30" s="41">
        <v>10</v>
      </c>
      <c r="E30" s="41">
        <f t="shared" si="0"/>
        <v>25</v>
      </c>
      <c r="F30" s="41">
        <f t="shared" si="1"/>
        <v>15</v>
      </c>
      <c r="G30" s="41">
        <f t="shared" si="2"/>
        <v>250</v>
      </c>
      <c r="H30" s="56">
        <f t="shared" si="3"/>
        <v>16.666232666666669</v>
      </c>
    </row>
    <row r="31" spans="1:8" x14ac:dyDescent="0.25">
      <c r="A31" s="49">
        <v>26</v>
      </c>
      <c r="B31" s="50" t="s">
        <v>396</v>
      </c>
      <c r="C31" s="55" t="s">
        <v>403</v>
      </c>
      <c r="D31" s="41">
        <v>84</v>
      </c>
      <c r="E31" s="41">
        <f t="shared" si="0"/>
        <v>100</v>
      </c>
      <c r="F31" s="41">
        <f t="shared" si="1"/>
        <v>16</v>
      </c>
      <c r="G31" s="41">
        <f t="shared" si="2"/>
        <v>1000</v>
      </c>
      <c r="H31" s="56">
        <f t="shared" si="3"/>
        <v>62.499526000000003</v>
      </c>
    </row>
    <row r="32" spans="1:8" x14ac:dyDescent="0.25">
      <c r="A32" s="49">
        <v>55</v>
      </c>
      <c r="B32" s="50" t="s">
        <v>400</v>
      </c>
      <c r="C32" s="55" t="s">
        <v>408</v>
      </c>
      <c r="D32" s="41">
        <v>32</v>
      </c>
      <c r="E32" s="41">
        <f t="shared" si="0"/>
        <v>50</v>
      </c>
      <c r="F32" s="41">
        <f t="shared" si="1"/>
        <v>18</v>
      </c>
      <c r="G32" s="41">
        <f t="shared" si="2"/>
        <v>500</v>
      </c>
      <c r="H32" s="56">
        <f t="shared" si="3"/>
        <v>27.777332777777779</v>
      </c>
    </row>
    <row r="33" spans="1:8" x14ac:dyDescent="0.25">
      <c r="A33" s="49">
        <v>27</v>
      </c>
      <c r="B33" s="50" t="s">
        <v>396</v>
      </c>
      <c r="C33" s="55" t="s">
        <v>404</v>
      </c>
      <c r="D33" s="41">
        <v>81</v>
      </c>
      <c r="E33" s="41">
        <f t="shared" si="0"/>
        <v>100</v>
      </c>
      <c r="F33" s="41">
        <f t="shared" si="1"/>
        <v>19</v>
      </c>
      <c r="G33" s="41">
        <f t="shared" si="2"/>
        <v>1000</v>
      </c>
      <c r="H33" s="56">
        <f t="shared" si="3"/>
        <v>52.631105947368418</v>
      </c>
    </row>
    <row r="34" spans="1:8" x14ac:dyDescent="0.25">
      <c r="A34" s="49">
        <v>24</v>
      </c>
      <c r="B34" s="50" t="s">
        <v>395</v>
      </c>
      <c r="C34" s="55" t="s">
        <v>408</v>
      </c>
      <c r="D34" s="41">
        <v>30</v>
      </c>
      <c r="E34" s="41">
        <f t="shared" si="0"/>
        <v>50</v>
      </c>
      <c r="F34" s="41">
        <f t="shared" si="1"/>
        <v>20</v>
      </c>
      <c r="G34" s="41">
        <f t="shared" si="2"/>
        <v>500</v>
      </c>
      <c r="H34" s="56">
        <f t="shared" si="3"/>
        <v>24.999524000000001</v>
      </c>
    </row>
    <row r="35" spans="1:8" x14ac:dyDescent="0.25">
      <c r="A35" s="49">
        <v>29</v>
      </c>
      <c r="B35" s="50" t="s">
        <v>396</v>
      </c>
      <c r="C35" s="55" t="s">
        <v>409</v>
      </c>
      <c r="D35" s="41">
        <v>80</v>
      </c>
      <c r="E35" s="41">
        <f t="shared" si="0"/>
        <v>100</v>
      </c>
      <c r="F35" s="41">
        <f t="shared" si="1"/>
        <v>20</v>
      </c>
      <c r="G35" s="41">
        <f t="shared" si="2"/>
        <v>1000</v>
      </c>
      <c r="H35" s="56">
        <f t="shared" si="3"/>
        <v>49.999529000000003</v>
      </c>
    </row>
    <row r="36" spans="1:8" x14ac:dyDescent="0.25">
      <c r="A36" s="49">
        <v>50</v>
      </c>
      <c r="B36" s="50" t="s">
        <v>400</v>
      </c>
      <c r="C36" s="55" t="s">
        <v>403</v>
      </c>
      <c r="D36" s="41">
        <v>80</v>
      </c>
      <c r="E36" s="41">
        <f t="shared" ref="E36:E67" si="4">IF(D36&lt;1, 1, IF(D36&lt;5, 5, IF(D36&lt;10, 10, IF(D36&lt;25, 25, IF(D36&lt;50, 50, IF(D36&lt;100, 100, IF(D36&lt;250, 250, "DONE")))))))</f>
        <v>100</v>
      </c>
      <c r="F36" s="41">
        <f t="shared" ref="F36:F67" si="5">E36-D36</f>
        <v>20</v>
      </c>
      <c r="G36" s="41">
        <f t="shared" ref="G36:G70" si="6">IF(E36=1, 25, IF(E36=5, 50, IF(E36=10, 100, IF(E36=25, 250, IF(E36=50, 500, IF(E36=100, 1000, IF(E36=250, 2000, "DONE")))))))</f>
        <v>1000</v>
      </c>
      <c r="H36" s="56">
        <f t="shared" ref="H36:H67" si="7">G36/F36 - (500-A36)/1000000</f>
        <v>49.999549999999999</v>
      </c>
    </row>
    <row r="37" spans="1:8" x14ac:dyDescent="0.25">
      <c r="A37" s="49">
        <v>51</v>
      </c>
      <c r="B37" s="50" t="s">
        <v>400</v>
      </c>
      <c r="C37" s="55" t="s">
        <v>404</v>
      </c>
      <c r="D37" s="41">
        <v>80</v>
      </c>
      <c r="E37" s="41">
        <f t="shared" si="4"/>
        <v>100</v>
      </c>
      <c r="F37" s="41">
        <f t="shared" si="5"/>
        <v>20</v>
      </c>
      <c r="G37" s="41">
        <f t="shared" si="6"/>
        <v>1000</v>
      </c>
      <c r="H37" s="56">
        <f t="shared" si="7"/>
        <v>49.999550999999997</v>
      </c>
    </row>
    <row r="38" spans="1:8" x14ac:dyDescent="0.25">
      <c r="A38" s="49">
        <v>62</v>
      </c>
      <c r="B38" s="50" t="s">
        <v>402</v>
      </c>
      <c r="C38" s="55" t="s">
        <v>403</v>
      </c>
      <c r="D38" s="41">
        <v>29</v>
      </c>
      <c r="E38" s="41">
        <f t="shared" si="4"/>
        <v>50</v>
      </c>
      <c r="F38" s="41">
        <f t="shared" si="5"/>
        <v>21</v>
      </c>
      <c r="G38" s="41">
        <f t="shared" si="6"/>
        <v>500</v>
      </c>
      <c r="H38" s="56">
        <f t="shared" si="7"/>
        <v>23.809085809523811</v>
      </c>
    </row>
    <row r="39" spans="1:8" x14ac:dyDescent="0.25">
      <c r="A39" s="49">
        <v>63</v>
      </c>
      <c r="B39" s="50" t="s">
        <v>402</v>
      </c>
      <c r="C39" s="55" t="s">
        <v>404</v>
      </c>
      <c r="D39" s="41">
        <v>29</v>
      </c>
      <c r="E39" s="41">
        <f t="shared" si="4"/>
        <v>50</v>
      </c>
      <c r="F39" s="41">
        <f t="shared" si="5"/>
        <v>21</v>
      </c>
      <c r="G39" s="41">
        <f t="shared" si="6"/>
        <v>500</v>
      </c>
      <c r="H39" s="56">
        <f t="shared" si="7"/>
        <v>23.809086809523809</v>
      </c>
    </row>
    <row r="40" spans="1:8" x14ac:dyDescent="0.25">
      <c r="A40" s="49">
        <v>65</v>
      </c>
      <c r="B40" s="50" t="s">
        <v>402</v>
      </c>
      <c r="C40" s="55" t="s">
        <v>409</v>
      </c>
      <c r="D40" s="41">
        <v>29</v>
      </c>
      <c r="E40" s="41">
        <f t="shared" si="4"/>
        <v>50</v>
      </c>
      <c r="F40" s="41">
        <f t="shared" si="5"/>
        <v>21</v>
      </c>
      <c r="G40" s="41">
        <f t="shared" si="6"/>
        <v>500</v>
      </c>
      <c r="H40" s="56">
        <f t="shared" si="7"/>
        <v>23.809088809523811</v>
      </c>
    </row>
    <row r="41" spans="1:8" x14ac:dyDescent="0.25">
      <c r="A41" s="49">
        <v>30</v>
      </c>
      <c r="B41" s="50" t="s">
        <v>396</v>
      </c>
      <c r="C41" s="55" t="s">
        <v>406</v>
      </c>
      <c r="D41" s="41">
        <v>78</v>
      </c>
      <c r="E41" s="41">
        <f t="shared" si="4"/>
        <v>100</v>
      </c>
      <c r="F41" s="41">
        <f t="shared" si="5"/>
        <v>22</v>
      </c>
      <c r="G41" s="41">
        <f t="shared" si="6"/>
        <v>1000</v>
      </c>
      <c r="H41" s="56">
        <f t="shared" si="7"/>
        <v>45.454075454545453</v>
      </c>
    </row>
    <row r="42" spans="1:8" x14ac:dyDescent="0.25">
      <c r="A42" s="49">
        <v>53</v>
      </c>
      <c r="B42" s="50" t="s">
        <v>400</v>
      </c>
      <c r="C42" s="55" t="s">
        <v>409</v>
      </c>
      <c r="D42" s="41">
        <v>78</v>
      </c>
      <c r="E42" s="41">
        <f t="shared" si="4"/>
        <v>100</v>
      </c>
      <c r="F42" s="44">
        <f t="shared" si="5"/>
        <v>22</v>
      </c>
      <c r="G42" s="41">
        <f t="shared" si="6"/>
        <v>1000</v>
      </c>
      <c r="H42" s="56">
        <f t="shared" si="7"/>
        <v>45.454098454545452</v>
      </c>
    </row>
    <row r="43" spans="1:8" x14ac:dyDescent="0.25">
      <c r="A43" s="49">
        <v>28</v>
      </c>
      <c r="B43" s="50" t="s">
        <v>396</v>
      </c>
      <c r="C43" s="55" t="s">
        <v>405</v>
      </c>
      <c r="D43" s="41">
        <v>77</v>
      </c>
      <c r="E43" s="41">
        <f t="shared" si="4"/>
        <v>100</v>
      </c>
      <c r="F43" s="44">
        <f t="shared" si="5"/>
        <v>23</v>
      </c>
      <c r="G43" s="41">
        <f t="shared" si="6"/>
        <v>1000</v>
      </c>
      <c r="H43" s="56">
        <f t="shared" si="7"/>
        <v>43.477788869565217</v>
      </c>
    </row>
    <row r="44" spans="1:8" x14ac:dyDescent="0.25">
      <c r="A44" s="49">
        <v>44</v>
      </c>
      <c r="B44" s="50" t="s">
        <v>399</v>
      </c>
      <c r="C44" s="55" t="s">
        <v>403</v>
      </c>
      <c r="D44" s="59">
        <v>69</v>
      </c>
      <c r="E44" s="41">
        <f t="shared" si="4"/>
        <v>100</v>
      </c>
      <c r="F44" s="59">
        <f t="shared" si="5"/>
        <v>31</v>
      </c>
      <c r="G44" s="59">
        <f t="shared" si="6"/>
        <v>1000</v>
      </c>
      <c r="H44" s="56">
        <f t="shared" si="7"/>
        <v>32.257608516129032</v>
      </c>
    </row>
    <row r="45" spans="1:8" x14ac:dyDescent="0.25">
      <c r="A45" s="49">
        <v>45</v>
      </c>
      <c r="B45" s="50" t="s">
        <v>399</v>
      </c>
      <c r="C45" s="55" t="s">
        <v>404</v>
      </c>
      <c r="D45" s="59">
        <v>69</v>
      </c>
      <c r="E45" s="41">
        <f t="shared" si="4"/>
        <v>100</v>
      </c>
      <c r="F45" s="59">
        <f t="shared" si="5"/>
        <v>31</v>
      </c>
      <c r="G45" s="59">
        <f t="shared" si="6"/>
        <v>1000</v>
      </c>
      <c r="H45" s="56">
        <f t="shared" si="7"/>
        <v>32.25760951612903</v>
      </c>
    </row>
    <row r="46" spans="1:8" x14ac:dyDescent="0.25">
      <c r="A46" s="49">
        <v>47</v>
      </c>
      <c r="B46" s="50" t="s">
        <v>399</v>
      </c>
      <c r="C46" s="55" t="s">
        <v>409</v>
      </c>
      <c r="D46" s="41">
        <v>69</v>
      </c>
      <c r="E46" s="41">
        <f t="shared" si="4"/>
        <v>100</v>
      </c>
      <c r="F46" s="41">
        <f t="shared" si="5"/>
        <v>31</v>
      </c>
      <c r="G46" s="41">
        <f t="shared" si="6"/>
        <v>1000</v>
      </c>
      <c r="H46" s="56">
        <f t="shared" si="7"/>
        <v>32.257611516129032</v>
      </c>
    </row>
    <row r="47" spans="1:8" x14ac:dyDescent="0.25">
      <c r="A47" s="49">
        <v>38</v>
      </c>
      <c r="B47" s="50" t="s">
        <v>398</v>
      </c>
      <c r="C47" s="55" t="s">
        <v>403</v>
      </c>
      <c r="D47" s="41">
        <v>65</v>
      </c>
      <c r="E47" s="41">
        <f t="shared" si="4"/>
        <v>100</v>
      </c>
      <c r="F47" s="41">
        <f t="shared" si="5"/>
        <v>35</v>
      </c>
      <c r="G47" s="41">
        <f t="shared" si="6"/>
        <v>1000</v>
      </c>
      <c r="H47" s="56">
        <f t="shared" si="7"/>
        <v>28.570966571428574</v>
      </c>
    </row>
    <row r="48" spans="1:8" x14ac:dyDescent="0.25">
      <c r="A48" s="49">
        <v>54</v>
      </c>
      <c r="B48" s="50" t="s">
        <v>400</v>
      </c>
      <c r="C48" s="55" t="s">
        <v>406</v>
      </c>
      <c r="D48" s="41">
        <v>64</v>
      </c>
      <c r="E48" s="41">
        <f t="shared" si="4"/>
        <v>100</v>
      </c>
      <c r="F48" s="41">
        <f t="shared" si="5"/>
        <v>36</v>
      </c>
      <c r="G48" s="41">
        <f t="shared" si="6"/>
        <v>1000</v>
      </c>
      <c r="H48" s="56">
        <f t="shared" si="7"/>
        <v>27.777331777777778</v>
      </c>
    </row>
    <row r="49" spans="1:8" x14ac:dyDescent="0.25">
      <c r="A49" s="49">
        <v>25</v>
      </c>
      <c r="B49" s="50" t="s">
        <v>395</v>
      </c>
      <c r="C49" s="55" t="s">
        <v>410</v>
      </c>
      <c r="D49" s="41">
        <v>63</v>
      </c>
      <c r="E49" s="41">
        <f t="shared" si="4"/>
        <v>100</v>
      </c>
      <c r="F49" s="41">
        <f t="shared" si="5"/>
        <v>37</v>
      </c>
      <c r="G49" s="41">
        <f t="shared" si="6"/>
        <v>1000</v>
      </c>
      <c r="H49" s="56">
        <f t="shared" si="7"/>
        <v>27.026552027027027</v>
      </c>
    </row>
    <row r="50" spans="1:8" x14ac:dyDescent="0.25">
      <c r="A50" s="49">
        <v>52</v>
      </c>
      <c r="B50" s="50" t="s">
        <v>400</v>
      </c>
      <c r="C50" s="55" t="s">
        <v>405</v>
      </c>
      <c r="D50" s="41">
        <v>57</v>
      </c>
      <c r="E50" s="41">
        <f t="shared" si="4"/>
        <v>100</v>
      </c>
      <c r="F50" s="41">
        <f t="shared" si="5"/>
        <v>43</v>
      </c>
      <c r="G50" s="41">
        <f t="shared" si="6"/>
        <v>1000</v>
      </c>
      <c r="H50" s="56">
        <f t="shared" si="7"/>
        <v>23.255365953488372</v>
      </c>
    </row>
    <row r="51" spans="1:8" x14ac:dyDescent="0.25">
      <c r="A51" s="49">
        <v>39</v>
      </c>
      <c r="B51" s="50" t="s">
        <v>398</v>
      </c>
      <c r="C51" s="55" t="s">
        <v>404</v>
      </c>
      <c r="D51" s="41">
        <v>55</v>
      </c>
      <c r="E51" s="41">
        <f t="shared" si="4"/>
        <v>100</v>
      </c>
      <c r="F51" s="41">
        <f t="shared" si="5"/>
        <v>45</v>
      </c>
      <c r="G51" s="41">
        <f t="shared" si="6"/>
        <v>1000</v>
      </c>
      <c r="H51" s="56">
        <f t="shared" si="7"/>
        <v>22.22176122222222</v>
      </c>
    </row>
    <row r="52" spans="1:8" x14ac:dyDescent="0.25">
      <c r="A52" s="49">
        <v>32</v>
      </c>
      <c r="B52" s="50" t="s">
        <v>397</v>
      </c>
      <c r="C52" s="55" t="s">
        <v>403</v>
      </c>
      <c r="D52" s="41">
        <v>53</v>
      </c>
      <c r="E52" s="41">
        <f t="shared" si="4"/>
        <v>100</v>
      </c>
      <c r="F52" s="41">
        <f t="shared" si="5"/>
        <v>47</v>
      </c>
      <c r="G52" s="41">
        <f t="shared" si="6"/>
        <v>1000</v>
      </c>
      <c r="H52" s="56">
        <f t="shared" si="7"/>
        <v>21.276127744680849</v>
      </c>
    </row>
    <row r="53" spans="1:8" x14ac:dyDescent="0.25">
      <c r="A53" s="49">
        <v>33</v>
      </c>
      <c r="B53" s="50" t="s">
        <v>397</v>
      </c>
      <c r="C53" s="55" t="s">
        <v>404</v>
      </c>
      <c r="D53" s="41">
        <v>53</v>
      </c>
      <c r="E53" s="41">
        <f t="shared" si="4"/>
        <v>100</v>
      </c>
      <c r="F53" s="41">
        <f t="shared" si="5"/>
        <v>47</v>
      </c>
      <c r="G53" s="41">
        <f t="shared" si="6"/>
        <v>1000</v>
      </c>
      <c r="H53" s="56">
        <f t="shared" si="7"/>
        <v>21.27612874468085</v>
      </c>
    </row>
    <row r="54" spans="1:8" x14ac:dyDescent="0.25">
      <c r="A54" s="49">
        <v>35</v>
      </c>
      <c r="B54" s="50" t="s">
        <v>397</v>
      </c>
      <c r="C54" s="55" t="s">
        <v>409</v>
      </c>
      <c r="D54" s="41">
        <v>53</v>
      </c>
      <c r="E54" s="41">
        <f t="shared" si="4"/>
        <v>100</v>
      </c>
      <c r="F54" s="41">
        <f t="shared" si="5"/>
        <v>47</v>
      </c>
      <c r="G54" s="41">
        <f t="shared" si="6"/>
        <v>1000</v>
      </c>
      <c r="H54" s="56">
        <f t="shared" si="7"/>
        <v>21.276130744680852</v>
      </c>
    </row>
    <row r="55" spans="1:8" x14ac:dyDescent="0.25">
      <c r="A55" s="49">
        <v>41</v>
      </c>
      <c r="B55" s="50" t="s">
        <v>398</v>
      </c>
      <c r="C55" s="55" t="s">
        <v>409</v>
      </c>
      <c r="D55" s="41">
        <v>53</v>
      </c>
      <c r="E55" s="41">
        <f t="shared" si="4"/>
        <v>100</v>
      </c>
      <c r="F55" s="41">
        <f t="shared" si="5"/>
        <v>47</v>
      </c>
      <c r="G55" s="41">
        <f t="shared" si="6"/>
        <v>1000</v>
      </c>
      <c r="H55" s="56">
        <f t="shared" si="7"/>
        <v>21.276136744680851</v>
      </c>
    </row>
    <row r="56" spans="1:8" x14ac:dyDescent="0.25">
      <c r="A56" s="49">
        <v>7</v>
      </c>
      <c r="B56" s="50" t="s">
        <v>393</v>
      </c>
      <c r="C56" s="55" t="s">
        <v>403</v>
      </c>
      <c r="D56" s="61">
        <v>154</v>
      </c>
      <c r="E56" s="61">
        <f t="shared" si="4"/>
        <v>250</v>
      </c>
      <c r="F56" s="61">
        <f t="shared" si="5"/>
        <v>96</v>
      </c>
      <c r="G56" s="61">
        <f t="shared" si="6"/>
        <v>2000</v>
      </c>
      <c r="H56" s="56">
        <f t="shared" si="7"/>
        <v>20.832840333333333</v>
      </c>
    </row>
    <row r="57" spans="1:8" x14ac:dyDescent="0.25">
      <c r="A57" s="49">
        <v>8</v>
      </c>
      <c r="B57" s="50" t="s">
        <v>393</v>
      </c>
      <c r="C57" s="55" t="s">
        <v>404</v>
      </c>
      <c r="D57" s="44">
        <v>154</v>
      </c>
      <c r="E57" s="44">
        <f t="shared" si="4"/>
        <v>250</v>
      </c>
      <c r="F57" s="44">
        <f t="shared" si="5"/>
        <v>96</v>
      </c>
      <c r="G57" s="44">
        <f t="shared" si="6"/>
        <v>2000</v>
      </c>
      <c r="H57" s="56">
        <f t="shared" si="7"/>
        <v>20.832841333333331</v>
      </c>
    </row>
    <row r="58" spans="1:8" x14ac:dyDescent="0.25">
      <c r="A58" s="49">
        <v>11</v>
      </c>
      <c r="B58" s="50" t="s">
        <v>393</v>
      </c>
      <c r="C58" s="55" t="s">
        <v>409</v>
      </c>
      <c r="D58" s="59">
        <v>153</v>
      </c>
      <c r="E58" s="59">
        <f t="shared" si="4"/>
        <v>250</v>
      </c>
      <c r="F58" s="59">
        <f t="shared" si="5"/>
        <v>97</v>
      </c>
      <c r="G58" s="59">
        <f t="shared" si="6"/>
        <v>2000</v>
      </c>
      <c r="H58" s="56">
        <f t="shared" si="7"/>
        <v>20.618067701030927</v>
      </c>
    </row>
    <row r="59" spans="1:8" x14ac:dyDescent="0.25">
      <c r="A59" s="49">
        <v>10</v>
      </c>
      <c r="B59" s="50" t="s">
        <v>393</v>
      </c>
      <c r="C59" s="55" t="s">
        <v>406</v>
      </c>
      <c r="D59" s="41">
        <v>149</v>
      </c>
      <c r="E59" s="41">
        <f t="shared" si="4"/>
        <v>250</v>
      </c>
      <c r="F59" s="41">
        <f t="shared" si="5"/>
        <v>101</v>
      </c>
      <c r="G59" s="41">
        <f t="shared" si="6"/>
        <v>2000</v>
      </c>
      <c r="H59" s="56">
        <f t="shared" si="7"/>
        <v>19.801490198019803</v>
      </c>
    </row>
    <row r="60" spans="1:8" x14ac:dyDescent="0.25">
      <c r="A60" s="49">
        <v>9</v>
      </c>
      <c r="B60" s="50" t="s">
        <v>393</v>
      </c>
      <c r="C60" s="55" t="s">
        <v>405</v>
      </c>
      <c r="D60" s="61">
        <v>142</v>
      </c>
      <c r="E60" s="41">
        <f t="shared" si="4"/>
        <v>250</v>
      </c>
      <c r="F60" s="61">
        <f t="shared" si="5"/>
        <v>108</v>
      </c>
      <c r="G60" s="61">
        <f t="shared" si="6"/>
        <v>2000</v>
      </c>
      <c r="H60" s="56">
        <f t="shared" si="7"/>
        <v>18.518027518518519</v>
      </c>
    </row>
    <row r="61" spans="1:8" x14ac:dyDescent="0.25">
      <c r="A61" s="49">
        <v>1</v>
      </c>
      <c r="B61" s="50" t="s">
        <v>392</v>
      </c>
      <c r="C61" s="55" t="s">
        <v>403</v>
      </c>
      <c r="D61" s="61">
        <v>133</v>
      </c>
      <c r="E61" s="41">
        <f t="shared" si="4"/>
        <v>250</v>
      </c>
      <c r="F61" s="61">
        <f t="shared" si="5"/>
        <v>117</v>
      </c>
      <c r="G61" s="61">
        <f t="shared" si="6"/>
        <v>2000</v>
      </c>
      <c r="H61" s="56">
        <f t="shared" si="7"/>
        <v>17.093518094017092</v>
      </c>
    </row>
    <row r="62" spans="1:8" x14ac:dyDescent="0.25">
      <c r="A62" s="49">
        <v>2</v>
      </c>
      <c r="B62" s="50" t="s">
        <v>392</v>
      </c>
      <c r="C62" s="55" t="s">
        <v>404</v>
      </c>
      <c r="D62" s="41">
        <v>133</v>
      </c>
      <c r="E62" s="41">
        <f t="shared" si="4"/>
        <v>250</v>
      </c>
      <c r="F62" s="41">
        <f t="shared" si="5"/>
        <v>117</v>
      </c>
      <c r="G62" s="41">
        <f t="shared" si="6"/>
        <v>2000</v>
      </c>
      <c r="H62" s="56">
        <f t="shared" si="7"/>
        <v>17.093519094017093</v>
      </c>
    </row>
    <row r="63" spans="1:8" x14ac:dyDescent="0.25">
      <c r="A63" s="49">
        <v>5</v>
      </c>
      <c r="B63" s="50" t="s">
        <v>392</v>
      </c>
      <c r="C63" s="55" t="s">
        <v>407</v>
      </c>
      <c r="D63" s="59">
        <v>133</v>
      </c>
      <c r="E63" s="59">
        <f t="shared" si="4"/>
        <v>250</v>
      </c>
      <c r="F63" s="59">
        <f t="shared" si="5"/>
        <v>117</v>
      </c>
      <c r="G63" s="59">
        <f t="shared" si="6"/>
        <v>2000</v>
      </c>
      <c r="H63" s="56">
        <f t="shared" si="7"/>
        <v>17.093522094017093</v>
      </c>
    </row>
    <row r="64" spans="1:8" x14ac:dyDescent="0.25">
      <c r="A64" s="49">
        <v>4</v>
      </c>
      <c r="B64" s="50" t="s">
        <v>392</v>
      </c>
      <c r="C64" s="55" t="s">
        <v>406</v>
      </c>
      <c r="D64" s="61">
        <v>132</v>
      </c>
      <c r="E64" s="41">
        <f t="shared" si="4"/>
        <v>250</v>
      </c>
      <c r="F64" s="61">
        <f t="shared" si="5"/>
        <v>118</v>
      </c>
      <c r="G64" s="61">
        <f t="shared" si="6"/>
        <v>2000</v>
      </c>
      <c r="H64" s="56">
        <f t="shared" si="7"/>
        <v>16.948656542372884</v>
      </c>
    </row>
    <row r="65" spans="1:8" x14ac:dyDescent="0.25">
      <c r="A65" s="49">
        <v>3</v>
      </c>
      <c r="B65" s="50" t="s">
        <v>392</v>
      </c>
      <c r="C65" s="55" t="s">
        <v>405</v>
      </c>
      <c r="D65" s="41">
        <v>129</v>
      </c>
      <c r="E65" s="41">
        <f t="shared" si="4"/>
        <v>250</v>
      </c>
      <c r="F65" s="41">
        <f t="shared" si="5"/>
        <v>121</v>
      </c>
      <c r="G65" s="41">
        <f t="shared" si="6"/>
        <v>2000</v>
      </c>
      <c r="H65" s="56">
        <f t="shared" si="7"/>
        <v>16.52842861983471</v>
      </c>
    </row>
    <row r="66" spans="1:8" x14ac:dyDescent="0.25">
      <c r="A66" s="49">
        <v>12</v>
      </c>
      <c r="B66" s="50" t="s">
        <v>393</v>
      </c>
      <c r="C66" s="55" t="s">
        <v>410</v>
      </c>
      <c r="D66" s="41">
        <v>116</v>
      </c>
      <c r="E66" s="41">
        <f t="shared" si="4"/>
        <v>250</v>
      </c>
      <c r="F66" s="41">
        <f t="shared" si="5"/>
        <v>134</v>
      </c>
      <c r="G66" s="41">
        <f t="shared" si="6"/>
        <v>2000</v>
      </c>
      <c r="H66" s="56">
        <f t="shared" si="7"/>
        <v>14.924885134328358</v>
      </c>
    </row>
    <row r="67" spans="1:8" x14ac:dyDescent="0.25">
      <c r="A67" s="49">
        <v>13</v>
      </c>
      <c r="B67" s="50" t="s">
        <v>394</v>
      </c>
      <c r="C67" s="55" t="s">
        <v>403</v>
      </c>
      <c r="D67" s="59">
        <v>103</v>
      </c>
      <c r="E67" s="44">
        <f t="shared" si="4"/>
        <v>250</v>
      </c>
      <c r="F67" s="59">
        <f t="shared" si="5"/>
        <v>147</v>
      </c>
      <c r="G67" s="59">
        <f t="shared" si="6"/>
        <v>2000</v>
      </c>
      <c r="H67" s="56">
        <f t="shared" si="7"/>
        <v>13.604955176870748</v>
      </c>
    </row>
    <row r="68" spans="1:8" x14ac:dyDescent="0.25">
      <c r="A68" s="49">
        <v>14</v>
      </c>
      <c r="B68" s="50" t="s">
        <v>394</v>
      </c>
      <c r="C68" s="55" t="s">
        <v>404</v>
      </c>
      <c r="D68" s="41">
        <v>103</v>
      </c>
      <c r="E68" s="41">
        <f t="shared" ref="E68:E99" si="8">IF(D68&lt;1, 1, IF(D68&lt;5, 5, IF(D68&lt;10, 10, IF(D68&lt;25, 25, IF(D68&lt;50, 50, IF(D68&lt;100, 100, IF(D68&lt;250, 250, "DONE")))))))</f>
        <v>250</v>
      </c>
      <c r="F68" s="41">
        <f t="shared" ref="F68:F99" si="9">E68-D68</f>
        <v>147</v>
      </c>
      <c r="G68" s="41">
        <f t="shared" si="6"/>
        <v>2000</v>
      </c>
      <c r="H68" s="56">
        <f t="shared" ref="H68:H99" si="10">G68/F68 - (500-A68)/1000000</f>
        <v>13.604956176870747</v>
      </c>
    </row>
    <row r="69" spans="1:8" x14ac:dyDescent="0.25">
      <c r="A69" s="49">
        <v>16</v>
      </c>
      <c r="B69" s="50" t="s">
        <v>394</v>
      </c>
      <c r="C69" s="55" t="s">
        <v>409</v>
      </c>
      <c r="D69" s="59">
        <v>103</v>
      </c>
      <c r="E69" s="59">
        <f t="shared" si="8"/>
        <v>250</v>
      </c>
      <c r="F69" s="59">
        <f t="shared" si="9"/>
        <v>147</v>
      </c>
      <c r="G69" s="59">
        <f t="shared" si="6"/>
        <v>2000</v>
      </c>
      <c r="H69" s="56">
        <f t="shared" si="10"/>
        <v>13.604958176870747</v>
      </c>
    </row>
    <row r="70" spans="1:8" ht="15.75" thickBot="1" x14ac:dyDescent="0.3">
      <c r="A70" s="51">
        <v>17</v>
      </c>
      <c r="B70" s="52" t="s">
        <v>394</v>
      </c>
      <c r="C70" s="57" t="s">
        <v>406</v>
      </c>
      <c r="D70" s="60">
        <v>101</v>
      </c>
      <c r="E70" s="60">
        <f t="shared" si="8"/>
        <v>250</v>
      </c>
      <c r="F70" s="60">
        <f t="shared" si="9"/>
        <v>149</v>
      </c>
      <c r="G70" s="60">
        <f t="shared" si="6"/>
        <v>2000</v>
      </c>
      <c r="H70" s="58">
        <f t="shared" si="10"/>
        <v>13.42233579194631</v>
      </c>
    </row>
    <row r="71" spans="1:8" ht="15.75" thickTop="1" x14ac:dyDescent="0.25"/>
  </sheetData>
  <sortState ref="A4:H70">
    <sortCondition ref="F4"/>
  </sortState>
  <mergeCells count="2">
    <mergeCell ref="J13:L13"/>
    <mergeCell ref="J14:L14"/>
  </mergeCells>
  <conditionalFormatting sqref="A4:H70">
    <cfRule type="expression" dxfId="6" priority="1">
      <formula>$E4=250</formula>
    </cfRule>
    <cfRule type="expression" dxfId="5" priority="2">
      <formula>$E4=100</formula>
    </cfRule>
    <cfRule type="expression" dxfId="4" priority="3">
      <formula>$E4=50</formula>
    </cfRule>
    <cfRule type="expression" dxfId="3" priority="4">
      <formula>$E4=25</formula>
    </cfRule>
    <cfRule type="expression" dxfId="2" priority="5">
      <formula>$E4=10</formula>
    </cfRule>
    <cfRule type="expression" dxfId="1" priority="6">
      <formula>$E4=5</formula>
    </cfRule>
    <cfRule type="expression" dxfId="0" priority="7">
      <formula>$E4=1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2" r:id="rId4" name="ToggleSortBtn">
          <controlPr defaultSize="0" autoLine="0" autoPict="0" r:id="rId5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11</xdr:col>
                <xdr:colOff>0</xdr:colOff>
                <xdr:row>10</xdr:row>
                <xdr:rowOff>114300</xdr:rowOff>
              </to>
            </anchor>
          </controlPr>
        </control>
      </mc:Choice>
      <mc:Fallback>
        <control shapeId="2052" r:id="rId4" name="ToggleSortBtn"/>
      </mc:Fallback>
    </mc:AlternateContent>
    <mc:AlternateContent xmlns:mc="http://schemas.openxmlformats.org/markup-compatibility/2006">
      <mc:Choice Requires="x14">
        <control shapeId="2051" r:id="rId6" name="SortRemainBtn">
          <controlPr defaultSize="0" autoLine="0" autoPict="0" r:id="rId7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11</xdr:col>
                <xdr:colOff>0</xdr:colOff>
                <xdr:row>8</xdr:row>
                <xdr:rowOff>123825</xdr:rowOff>
              </to>
            </anchor>
          </controlPr>
        </control>
      </mc:Choice>
      <mc:Fallback>
        <control shapeId="2051" r:id="rId6" name="SortRemainBtn"/>
      </mc:Fallback>
    </mc:AlternateContent>
    <mc:AlternateContent xmlns:mc="http://schemas.openxmlformats.org/markup-compatibility/2006">
      <mc:Choice Requires="x14">
        <control shapeId="2050" r:id="rId8" name="SortValBtn">
          <controlPr defaultSize="0" autoLine="0" autoPict="0" r:id="rId9">
            <anchor moveWithCells="1">
              <from>
                <xdr:col>9</xdr:col>
                <xdr:colOff>0</xdr:colOff>
                <xdr:row>5</xdr:row>
                <xdr:rowOff>9525</xdr:rowOff>
              </from>
              <to>
                <xdr:col>11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2050" r:id="rId8" name="SortValBtn"/>
      </mc:Fallback>
    </mc:AlternateContent>
    <mc:AlternateContent xmlns:mc="http://schemas.openxmlformats.org/markup-compatibility/2006">
      <mc:Choice Requires="x14">
        <control shapeId="2049" r:id="rId10" name="SortIdBtn">
          <controlPr defaultSize="0" autoLine="0" autoPict="0" r:id="rId11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2049" r:id="rId10" name="SortI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Radni listovi</vt:lpstr>
      </vt:variant>
      <vt:variant>
        <vt:i4>2</vt:i4>
      </vt:variant>
    </vt:vector>
  </HeadingPairs>
  <TitlesOfParts>
    <vt:vector size="2" baseType="lpstr"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2018-11-07T07:25:25Z</dcterms:modified>
</cp:coreProperties>
</file>